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5453c34fe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Summary" sheetId="1" r:id="R08983cd0c1f24aac"/>
    <x:sheet xmlns:r="http://schemas.openxmlformats.org/officeDocument/2006/relationships" name="Daily Plan" sheetId="2" r:id="Ree8edc5c9a9c4d9e"/>
    <x:sheet xmlns:r="http://schemas.openxmlformats.org/officeDocument/2006/relationships" name="Forecast Data" sheetId="3" r:id="R16b1accdb91c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mm/dd/yy"/>
    <x:numFmt numFmtId="201" formatCode="#,##0"/>
    <x:numFmt numFmtId="202" formatCode="0.0%"/>
    <x:numFmt numFmtId="203" formatCode="&quot;$&quot;#,##0"/>
    <x:numFmt numFmtId="204" formatCode="0.000x"/>
    <x:numFmt numFmtId="205" formatCode="#,##0.0"/>
    <x:numFmt numFmtId="206" formatCode="mmm d"/>
    <x:numFmt numFmtId="207" formatCode="#,##0.0 &quot;tickets&quot;"/>
  </x:numFmts>
  <x:fonts count="14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i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b/>
      <x:sz val="15"/>
      <x:color rgb="FF1F4E78"/>
      <x:name val="Arial"/>
    </x:font>
    <x:font>
      <x:sz val="10"/>
      <x:color rgb="FF0000FF"/>
      <x:name val="Arial"/>
    </x:font>
    <x:font>
      <x:b/>
      <x:sz val="10"/>
      <x:color rgb="FF666666"/>
      <x:name val="Arial"/>
    </x:font>
    <x:font>
      <x:b/>
      <x:sz val="14"/>
      <x:color rgb="FF1F4E78"/>
      <x:name val="Arial"/>
    </x:font>
    <x:font>
      <x:b/>
      <x:sz val="11"/>
      <x:color rgb="FF1F4E78"/>
      <x:name val="Arial"/>
    </x:font>
    <x:font>
      <x:b/>
      <x:sz val="12"/>
      <x:color rgb="FF1F4E78"/>
      <x:name val="Arial"/>
    </x:font>
    <x:font>
      <x:sz val="9"/>
      <x:color rgb="FF7F7F7F"/>
      <x:name val="Arial"/>
    </x:font>
    <x:font>
      <x:b/>
      <x:sz val="9"/>
      <x:color rgb="FF666666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8E7"/>
      </x:patternFill>
    </x:fill>
    <x:fill>
      <x:patternFill patternType="solid">
        <x:fgColor rgb="FF806000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1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right style="thin">
        <x:color rgb="FFE6D7A8"/>
      </x:right>
      <x:bottom style="thin">
        <x:color rgb="FFE6D7A8"/>
      </x:bottom>
    </x:border>
    <x:border>
      <x:left style="thin">
        <x:color rgb="FFE6D7A8"/>
      </x:left>
      <x:right style="thin">
        <x:color rgb="FFE6D7A8"/>
      </x:right>
      <x:bottom style="thin">
        <x:color rgb="FFE6D7A8"/>
      </x:bottom>
    </x:border>
    <x:border>
      <x:left style="thin">
        <x:color rgb="FFE6D7A8"/>
      </x:left>
      <x:bottom style="thin">
        <x:color rgb="FFE6D7A8"/>
      </x:bottom>
    </x:border>
    <x:border>
      <x:right style="thin">
        <x:color rgb="FFE6D7A8"/>
      </x:right>
      <x:top style="thin">
        <x:color rgb="FFE6D7A8"/>
      </x:top>
    </x:border>
    <x:border>
      <x:left style="thin">
        <x:color rgb="FFE6D7A8"/>
      </x:left>
      <x:right style="thin">
        <x:color rgb="FFE6D7A8"/>
      </x:right>
      <x:top style="thin">
        <x:color rgb="FFE6D7A8"/>
      </x:top>
    </x:border>
    <x:border>
      <x:left style="thin">
        <x:color rgb="FFE6D7A8"/>
      </x:left>
      <x:top style="thin">
        <x:color rgb="FFE6D7A8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4" xfId="0" applyNumberFormat="1" applyFont="1" applyFill="1" applyBorder="1"/>
    <x:xf numFmtId="0" fontId="0" fillId="0" borderId="4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 applyAlignment="1">
      <x:alignment horizontal="center" wrapText="1"/>
    </x:xf>
    <x:xf numFmtId="0" fontId="2" fillId="4" borderId="3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3" fillId="0" borderId="4" xfId="0" applyNumberFormat="1" applyFont="1" applyFill="1" applyBorder="1"/>
    <x:xf numFmtId="0" fontId="4" fillId="0" borderId="4" xfId="0" applyNumberFormat="1" applyFont="1" applyFill="1" applyBorder="1"/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/>
    </x:xf>
    <x:xf numFmtId="0" fontId="1" fillId="0" borderId="4" xfId="0" applyNumberFormat="1" applyFont="1" applyFill="1" applyBorder="1" applyAlignment="1">
      <x:alignment horizontal="left"/>
    </x:xf>
    <x:xf numFmtId="0" fontId="0" fillId="0" borderId="4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201" fontId="9" fillId="0" borderId="0" xfId="0" applyNumberFormat="1" applyFont="1" applyFill="1" applyBorder="1"/>
    <x:xf numFmtId="203" fontId="9" fillId="0" borderId="0" xfId="0" applyNumberFormat="1" applyFont="1" applyFill="1" applyBorder="1"/>
    <x:xf numFmtId="202" fontId="9" fillId="0" borderId="0" xfId="0" applyNumberFormat="1" applyFont="1" applyFill="1" applyBorder="1"/>
    <x:xf numFmtId="0" fontId="8" fillId="6" borderId="0" xfId="0" applyNumberFormat="1" applyFont="1" applyFill="1" applyBorder="1"/>
    <x:xf numFmtId="201" fontId="9" fillId="6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5" xfId="0" applyNumberFormat="1" applyFont="1" applyFill="1" applyBorder="1"/>
    <x:xf numFmtId="201" fontId="9" fillId="6" borderId="6" xfId="0" applyNumberFormat="1" applyFont="1" applyFill="1" applyBorder="1"/>
    <x:xf numFmtId="0" fontId="0" fillId="6" borderId="7" xfId="0" applyNumberFormat="1" applyFont="1" applyFill="1" applyBorder="1"/>
    <x:xf numFmtId="203" fontId="9" fillId="6" borderId="0" xfId="0" applyNumberFormat="1" applyFont="1" applyFill="1" applyBorder="1"/>
    <x:xf numFmtId="203" fontId="9" fillId="6" borderId="6" xfId="0" applyNumberFormat="1" applyFont="1" applyFill="1" applyBorder="1"/>
    <x:xf numFmtId="202" fontId="9" fillId="6" borderId="0" xfId="0" applyNumberFormat="1" applyFont="1" applyFill="1" applyBorder="1"/>
    <x:xf numFmtId="202" fontId="9" fillId="6" borderId="6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206" fontId="0" fillId="5" borderId="8" xfId="0" applyNumberFormat="1" applyFont="1" applyFill="1" applyBorder="1"/>
    <x:xf numFmtId="206" fontId="0" fillId="5" borderId="11" xfId="0" applyNumberFormat="1" applyFont="1" applyFill="1" applyBorder="1"/>
    <x:xf numFmtId="0" fontId="0" fillId="5" borderId="9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201" fontId="0" fillId="5" borderId="9" xfId="0" applyNumberFormat="1" applyFont="1" applyFill="1" applyBorder="1"/>
    <x:xf numFmtId="201" fontId="0" fillId="5" borderId="12" xfId="0" applyNumberFormat="1" applyFont="1" applyFill="1" applyBorder="1"/>
    <x:xf numFmtId="202" fontId="0" fillId="5" borderId="9" xfId="0" applyNumberFormat="1" applyFont="1" applyFill="1" applyBorder="1"/>
    <x:xf numFmtId="202" fontId="0" fillId="5" borderId="12" xfId="0" applyNumberFormat="1" applyFont="1" applyFill="1" applyBorder="1"/>
    <x:xf numFmtId="203" fontId="0" fillId="5" borderId="9" xfId="0" applyNumberFormat="1" applyFont="1" applyFill="1" applyBorder="1"/>
    <x:xf numFmtId="203" fontId="0" fillId="5" borderId="12" xfId="0" applyNumberFormat="1" applyFont="1" applyFill="1" applyBorder="1"/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14" xfId="0" applyNumberFormat="1" applyFont="1" applyFill="1" applyBorder="1"/>
    <x:xf numFmtId="207" fontId="11" fillId="7" borderId="14" xfId="0" applyNumberFormat="1" applyFont="1" applyFill="1" applyBorder="1"/>
    <x:xf numFmtId="202" fontId="11" fillId="7" borderId="14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201" fontId="12" fillId="0" borderId="0" xfId="0" applyNumberFormat="1" applyFont="1" applyFill="1" applyBorder="1"/>
    <x:xf numFmtId="203" fontId="12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/>
    </x:xf>
    <x:xf numFmtId="201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3" fillId="0" borderId="4" xfId="0" applyNumberFormat="1" applyFont="1" applyFill="1" applyBorder="1" applyAlignment="1">
      <x:alignment horizontal="left"/>
    </x:xf>
    <x:xf numFmtId="0" fontId="4" fillId="0" borderId="4" xfId="0" applyNumberFormat="1" applyFont="1" applyFill="1" applyBorder="1" applyAlignment="1">
      <x:alignment horizontal="left"/>
    </x:xf>
    <x:xf numFmtId="0" fontId="5" fillId="6" borderId="5" xfId="0" applyNumberFormat="1" applyFont="1" applyFill="1" applyBorder="1"/>
    <x:xf numFmtId="201" fontId="5" fillId="6" borderId="6" xfId="0" applyNumberFormat="1" applyFont="1" applyFill="1" applyBorder="1"/>
    <x:xf numFmtId="203" fontId="5" fillId="6" borderId="6" xfId="0" applyNumberFormat="1" applyFont="1" applyFill="1" applyBorder="1"/>
    <x:xf numFmtId="202" fontId="5" fillId="6" borderId="6" xfId="0" applyNumberFormat="1" applyFont="1" applyFill="1" applyBorder="1"/>
    <x:xf numFmtId="0" fontId="4" fillId="6" borderId="7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6" fontId="4" fillId="5" borderId="8" xfId="0" applyNumberFormat="1" applyFont="1" applyFill="1" applyBorder="1"/>
    <x:xf numFmtId="0" fontId="4" fillId="5" borderId="9" xfId="0" applyNumberFormat="1" applyFont="1" applyFill="1" applyBorder="1" applyAlignment="1">
      <x:alignment wrapText="1"/>
    </x:xf>
    <x:xf numFmtId="201" fontId="4" fillId="5" borderId="9" xfId="0" applyNumberFormat="1" applyFont="1" applyFill="1" applyBorder="1"/>
    <x:xf numFmtId="202" fontId="4" fillId="5" borderId="9" xfId="0" applyNumberFormat="1" applyFont="1" applyFill="1" applyBorder="1"/>
    <x:xf numFmtId="203" fontId="4" fillId="5" borderId="9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206" fontId="4" fillId="5" borderId="11" xfId="0" applyNumberFormat="1" applyFont="1" applyFill="1" applyBorder="1"/>
    <x:xf numFmtId="0" fontId="4" fillId="5" borderId="12" xfId="0" applyNumberFormat="1" applyFont="1" applyFill="1" applyBorder="1" applyAlignment="1">
      <x:alignment wrapText="1"/>
    </x:xf>
    <x:xf numFmtId="201" fontId="4" fillId="5" borderId="12" xfId="0" applyNumberFormat="1" applyFont="1" applyFill="1" applyBorder="1"/>
    <x:xf numFmtId="202" fontId="4" fillId="5" borderId="12" xfId="0" applyNumberFormat="1" applyFont="1" applyFill="1" applyBorder="1"/>
    <x:xf numFmtId="203" fontId="4" fillId="5" borderId="12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207" fontId="5" fillId="7" borderId="14" xfId="0" applyNumberFormat="1" applyFont="1" applyFill="1" applyBorder="1"/>
    <x:xf numFmtId="202" fontId="5" fillId="7" borderId="14" xfId="0" applyNumberFormat="1" applyFont="1" applyFill="1" applyBorder="1"/>
    <x:xf numFmtId="0" fontId="5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3" fillId="0" borderId="4" xfId="0" applyNumberFormat="1" applyFont="1" applyFill="1" applyBorder="1" applyAlignment="1">
      <x:alignment horizontal="left" vertical="center"/>
    </x:xf>
    <x:xf numFmtId="0" fontId="4" fillId="0" borderId="4" xfId="0" applyNumberFormat="1" applyFont="1" applyFill="1" applyBorder="1" applyAlignment="1">
      <x:alignment horizontal="left" vertical="center"/>
    </x:xf>
    <x:xf numFmtId="0" fontId="5" fillId="6" borderId="5" xfId="0" applyNumberFormat="1" applyFont="1" applyFill="1" applyBorder="1" applyAlignment="1">
      <x:alignment vertical="center"/>
    </x:xf>
    <x:xf numFmtId="201" fontId="5" fillId="6" borderId="6" xfId="0" applyNumberFormat="1" applyFont="1" applyFill="1" applyBorder="1" applyAlignment="1">
      <x:alignment vertical="center"/>
    </x:xf>
    <x:xf numFmtId="203" fontId="5" fillId="6" borderId="6" xfId="0" applyNumberFormat="1" applyFont="1" applyFill="1" applyBorder="1" applyAlignment="1">
      <x:alignment vertical="center"/>
    </x:xf>
    <x:xf numFmtId="202" fontId="5" fillId="6" borderId="6" xfId="0" applyNumberFormat="1" applyFont="1" applyFill="1" applyBorder="1" applyAlignment="1">
      <x:alignment vertical="center"/>
    </x:xf>
    <x:xf numFmtId="0" fontId="4" fillId="6" borderId="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6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 wrapText="1"/>
    </x:xf>
    <x:xf numFmtId="201" fontId="4" fillId="5" borderId="9" xfId="0" applyNumberFormat="1" applyFont="1" applyFill="1" applyBorder="1" applyAlignment="1">
      <x:alignment vertical="center"/>
    </x:xf>
    <x:xf numFmtId="202" fontId="4" fillId="5" borderId="9" xfId="0" applyNumberFormat="1" applyFont="1" applyFill="1" applyBorder="1" applyAlignment="1">
      <x:alignment vertical="center"/>
    </x:xf>
    <x:xf numFmtId="203" fontId="4" fillId="5" borderId="9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206" fontId="4" fillId="5" borderId="11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 wrapText="1"/>
    </x:xf>
    <x:xf numFmtId="201" fontId="4" fillId="5" borderId="12" xfId="0" applyNumberFormat="1" applyFont="1" applyFill="1" applyBorder="1" applyAlignment="1">
      <x:alignment vertical="center"/>
    </x:xf>
    <x:xf numFmtId="202" fontId="4" fillId="5" borderId="12" xfId="0" applyNumberFormat="1" applyFont="1" applyFill="1" applyBorder="1" applyAlignment="1">
      <x:alignment vertical="center"/>
    </x:xf>
    <x:xf numFmtId="203" fontId="4" fillId="5" borderId="12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0" fontId="4" fillId="5" borderId="13" xfId="0" applyNumberFormat="1" applyFont="1" applyFill="1" applyBorder="1" applyAlignment="1">
      <x:alignment vertical="center"/>
    </x:xf>
    <x:xf numFmtId="207" fontId="5" fillId="7" borderId="14" xfId="0" applyNumberFormat="1" applyFont="1" applyFill="1" applyBorder="1" applyAlignment="1">
      <x:alignment vertical="center"/>
    </x:xf>
    <x:xf numFmtId="202" fontId="5" fillId="7" borderId="14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left" vertical="center"/>
    </x:xf>
    <x:xf numFmtId="0" fontId="1" fillId="0" borderId="4" xfId="0" applyNumberFormat="1" applyFont="1" applyFill="1" applyBorder="1" applyAlignment="1">
      <x:alignment horizontal="left" vertical="center"/>
    </x:xf>
    <x:xf numFmtId="0" fontId="8" fillId="6" borderId="5" xfId="0" applyNumberFormat="1" applyFont="1" applyFill="1" applyBorder="1" applyAlignment="1">
      <x:alignment vertical="center"/>
    </x:xf>
    <x:xf numFmtId="0" fontId="8" fillId="6" borderId="5" xfId="0" applyNumberFormat="1" applyFont="1" applyFill="1" applyBorder="1" applyAlignment="1">
      <x:alignment vertical="center" wrapText="1"/>
    </x:xf>
    <x:xf numFmtId="201" fontId="9" fillId="6" borderId="6" xfId="0" applyNumberFormat="1" applyFont="1" applyFill="1" applyBorder="1" applyAlignment="1">
      <x:alignment vertical="center"/>
    </x:xf>
    <x:xf numFmtId="203" fontId="9" fillId="6" borderId="6" xfId="0" applyNumberFormat="1" applyFont="1" applyFill="1" applyBorder="1" applyAlignment="1">
      <x:alignment vertical="center"/>
    </x:xf>
    <x:xf numFmtId="202" fontId="9" fillId="6" borderId="6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9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d2e1a855e45c6" /><Relationship Type="http://schemas.openxmlformats.org/officeDocument/2006/relationships/theme" Target="/xl/theme/theme1.xml" Id="Rf52b461733744500" /><Relationship Type="http://schemas.microsoft.com/office/2022/11/relationships/FeaturePropertyBag" Target="/xl/featurePropertyBag/featurePropertyBag.xml" Id="R8c0f8ccf277e43f9" /><Relationship Type="http://schemas.openxmlformats.org/officeDocument/2006/relationships/sharedStrings" Target="/xl/sharedStrings.xml" Id="R111f11e9b2ab4152" /><Relationship Type="http://schemas.openxmlformats.org/officeDocument/2006/relationships/worksheet" Target="/xl/worksheets/sheet1.xml" Id="R08983cd0c1f24aac" /><Relationship Type="http://schemas.openxmlformats.org/officeDocument/2006/relationships/worksheet" Target="/xl/worksheets/sheet2.xml" Id="Ree8edc5c9a9c4d9e" /><Relationship Type="http://schemas.openxmlformats.org/officeDocument/2006/relationships/worksheet" Target="/xl/worksheets/sheet3.xml" Id="R16b1accdb91c4e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5beaa78a4f409c" /><Relationship Type="http://schemas.openxmlformats.org/officeDocument/2006/relationships/chart" Target="/xl/drawings/charts/chart2.xml" Id="R5c450c5c03f741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Daily demand and capacity (tickets)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Demand Forecast</c:v>
          </c:tx>
          <c:spPr>
            <a:ln xmlns:a="http://schemas.openxmlformats.org/drawingml/2006/main" w="1905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'Monthly Summary'!$P$2:$P$31</c:f>
              <c:strCache>
                <c:ptCount val="0"/>
              </c:strCache>
            </c:strRef>
          </c:cat>
          <c:val>
            <c:numRef>
              <c:f>'Monthly Summary'!$Q$2:$Q$31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Demand Target</c:v>
          </c:tx>
          <c:spPr>
            <a:ln xmlns:a="http://schemas.openxmlformats.org/drawingml/2006/main"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strRef>
              <c:f>'Monthly Summary'!$P$2:$P$31</c:f>
              <c:strCache>
                <c:ptCount val="0"/>
              </c:strCache>
            </c:strRef>
          </c:cat>
          <c:val>
            <c:numRef>
              <c:f>'Monthly Summary'!$R$2:$R$31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Capacity</c:v>
          </c:tx>
          <c:spPr>
            <a:ln xmlns:a="http://schemas.openxmlformats.org/drawingml/2006/main"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strRef>
              <c:f>'Monthly Summary'!$P$2:$P$31</c:f>
              <c:strCache>
                <c:ptCount val="0"/>
              </c:strCache>
            </c:strRef>
          </c:cat>
          <c:val>
            <c:numRef>
              <c:f>'Monthly Summary'!$S$2:$S$31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Daily net revenue and target ($K)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'Monthly Summary'!$P$2:$P$31</c:f>
              <c:strCache>
                <c:ptCount val="0"/>
              </c:strCache>
            </c:strRef>
          </c:cat>
          <c:val>
            <c:numRef>
              <c:f>'Monthly Summary'!$T$2:$T$31</c:f>
              <c:numCache>
                <c:formatCode>"$"#,##0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Revenue Target</c:v>
          </c:tx>
          <c:spPr>
            <a:ln xmlns:a="http://schemas.openxmlformats.org/drawingml/2006/main"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strRef>
              <c:f>'Monthly Summary'!$P$2:$P$31</c:f>
              <c:strCache>
                <c:ptCount val="0"/>
              </c:strCache>
            </c:strRef>
          </c:cat>
          <c:val>
            <c:numRef>
              <c:f>'Monthly Summary'!$U$2:$U$31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7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5beaa78a4f409c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450c5c03f741a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DailyPlanTable" displayName="DailyPlanTable" ref="A5:K35" headerRowCount="1" totalsRowCount="0" totalsRowShown="0">
  <x:tableColumns count="11">
    <x:tableColumn id="1" name="Date"/>
    <x:tableColumn id="2" name="Demand Forecast"/>
    <x:tableColumn id="3" name="Demand vs Target"/>
    <x:tableColumn id="4" name="Capacity Used"/>
    <x:tableColumn id="5" name="Net Revenue"/>
    <x:tableColumn id="6" name="Revenue vs Target"/>
    <x:tableColumn id="7" name="Decision"/>
    <x:tableColumn id="8" name="Recommended Decision"/>
    <x:tableColumn id="9" name="Owner"/>
    <x:tableColumn id="10" name="Status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ForecastDataTable" displayName="ForecastDataTable" ref="A3:AG33" headerRowCount="1" totalsRowCount="0" totalsRowShown="0">
  <x:tableColumns count="33">
    <x:tableColumn id="1" name="Date"/>
    <x:tableColumn id="2" name="Demand Forecast"/>
    <x:tableColumn id="3" name="Demand Low"/>
    <x:tableColumn id="4" name="Demand High"/>
    <x:tableColumn id="5" name="Available Capacity"/>
    <x:tableColumn id="6" name="Demand Target"/>
    <x:tableColumn id="7" name="Demand Gap"/>
    <x:tableColumn id="8" name="Demand Gap %"/>
    <x:tableColumn id="9" name="Capacity Used"/>
    <x:tableColumn id="10" name="Upper Capacity Used"/>
    <x:tableColumn id="11" name="Net Revenue"/>
    <x:tableColumn id="12" name="Revenue Low"/>
    <x:tableColumn id="13" name="Revenue High"/>
    <x:tableColumn id="14" name="Revenue Target"/>
    <x:tableColumn id="15" name="Revenue Gap"/>
    <x:tableColumn id="16" name="Revenue Gap %"/>
    <x:tableColumn id="17" name="Decision"/>
    <x:tableColumn id="18" name="Decision Reason"/>
    <x:tableColumn id="19" name="System Recommendation"/>
    <x:tableColumn id="20" name="Review Order"/>
    <x:tableColumn id="21" name="Holiday"/>
    <x:tableColumn id="22" name="Weekend"/>
    <x:tableColumn id="23" name="School Break"/>
    <x:tableColumn id="24" name="Price Multiplier"/>
    <x:tableColumn id="25" name="Campaign Count"/>
    <x:tableColumn id="26" name="Forecast Horizon"/>
    <x:tableColumn id="27" name="Demand Model"/>
    <x:tableColumn id="28" name="Revenue Model"/>
    <x:tableColumn id="29" name="Forecast Created"/>
    <x:tableColumn id="30" name="Demand Error (MAE)"/>
    <x:tableColumn id="31" name="Revenue Error (WAPE)"/>
    <x:tableColumn id="32" name="Decision Confidence"/>
    <x:tableColumn id="33" name="Short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82997a2e0642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d9a9d9b85c44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2811641ba244b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3" max="3" width="14" hidden="0" customWidth="1"/>
    <x:col min="6" max="6" width="16" hidden="0" customWidth="1"/>
    <x:col min="9" max="9" width="13" hidden="0" customWidth="1"/>
    <x:col min="12" max="12" width="13" hidden="0" customWidth="1"/>
    <x:col min="13" max="13" width="13" hidden="0" customWidth="1"/>
    <x:col min="14" max="14" width="13" hidden="0" customWidth="1"/>
    <x:col min="1" max="1" width="22" hidden="0" customWidth="1"/>
    <x:col min="2" max="2" width="47" hidden="0" customWidth="1"/>
    <x:col min="4" max="4" width="16" hidden="0" customWidth="1"/>
    <x:col min="5" max="5" width="16" hidden="0" customWidth="1"/>
    <x:col min="7" max="7" width="16" hidden="0" customWidth="1"/>
    <x:col min="8" max="8" width="16" hidden="0" customWidth="1"/>
    <x:col min="10" max="10" width="22" hidden="0" customWidth="1"/>
    <x:col min="11" max="11" width="13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20" customHeight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59" t="str">
        <x:v>Date</x:v>
      </x:c>
      <x:c r="Q1" s="59" t="str">
        <x:v>Demand Forecast</x:v>
      </x:c>
      <x:c r="R1" s="59" t="str">
        <x:v>Demand Target</x:v>
      </x:c>
      <x:c r="S1" s="59" t="str">
        <x:v>Capacity</x:v>
      </x:c>
      <x:c r="T1" s="59" t="str">
        <x:v>Net Revenue</x:v>
      </x:c>
      <x:c r="U1" s="59" t="str">
        <x:v>Revenue Target</x:v>
      </x:c>
    </x:row>
    <x:row r="2" ht="26" customHeight="1">
      <x:c r="A2" s="168" t="str">
        <x:v>January 2026 Attraction Demand and Revenue Plan</x:v>
      </x:c>
      <x:c r="B2" s="143"/>
      <x:c r="C2" s="143"/>
      <x:c r="D2" s="143"/>
      <x:c r="E2" s="143"/>
      <x:c r="F2" s="143"/>
      <x:c r="G2" s="143"/>
      <x:c r="H2" s="143"/>
      <x:c r="I2" s="143"/>
      <x:c r="J2" s="143"/>
      <x:c r="K2" s="143"/>
      <x:c r="L2" s="143"/>
      <x:c r="M2" s="143"/>
      <x:c r="N2" s="143"/>
      <x:c r="O2" s="27"/>
      <x:c r="P2" s="27" t="str">
        <x:f>'Forecast Data'!AG4</x:f>
        <x:v>Jan 1</x:v>
      </x:c>
      <x:c r="Q2" s="30" t="n">
        <x:f>'Forecast Data'!B4</x:f>
        <x:v>1591.95</x:v>
      </x:c>
      <x:c r="R2" s="30" t="n">
        <x:f>'Forecast Data'!F4</x:f>
        <x:v>1571</x:v>
      </x:c>
      <x:c r="S2" s="30" t="n">
        <x:f>'Forecast Data'!E4</x:f>
        <x:v>2500</x:v>
      </x:c>
      <x:c r="T2" s="32" t="n">
        <x:f>'Forecast Data'!K4</x:f>
        <x:v>195655.5</x:v>
      </x:c>
      <x:c r="U2" s="32" t="n">
        <x:f>'Forecast Data'!N4</x:f>
        <x:v>181782.44</x:v>
      </x:c>
    </x:row>
    <x:row r="3" ht="20" customHeight="1">
      <x:c r="A3" s="169" t="str">
        <x:v>Forecast period Jan 1–30, 2026. Forecast created Dec 31, 2025.</x:v>
      </x:c>
      <x:c r="B3" s="145"/>
      <x:c r="C3" s="145"/>
      <x:c r="D3" s="145"/>
      <x:c r="E3" s="145"/>
      <x:c r="F3" s="145"/>
      <x:c r="G3" s="145"/>
      <x:c r="H3" s="145"/>
      <x:c r="I3" s="145"/>
      <x:c r="J3" s="145"/>
      <x:c r="K3" s="145"/>
      <x:c r="L3" s="145"/>
      <x:c r="M3" s="145"/>
      <x:c r="N3" s="145"/>
      <x:c r="O3" s="27"/>
      <x:c r="P3" s="27" t="str">
        <x:f>'Forecast Data'!AG5</x:f>
        <x:v>Jan 2</x:v>
      </x:c>
      <x:c r="Q3" s="30" t="n">
        <x:f>'Forecast Data'!B5</x:f>
        <x:v>1572.14</x:v>
      </x:c>
      <x:c r="R3" s="30" t="n">
        <x:f>'Forecast Data'!F5</x:f>
        <x:v>1658</x:v>
      </x:c>
      <x:c r="S3" s="30" t="n">
        <x:f>'Forecast Data'!E5</x:f>
        <x:v>2500</x:v>
      </x:c>
      <x:c r="T3" s="32" t="n">
        <x:f>'Forecast Data'!K5</x:f>
        <x:v>192144.28</x:v>
      </x:c>
      <x:c r="U3" s="32" t="n">
        <x:f>'Forecast Data'!N5</x:f>
        <x:v>190474.17</x:v>
      </x:c>
    </x:row>
    <x:row r="4" ht="20" customHeight="1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 t="str">
        <x:f>'Forecast Data'!AG6</x:f>
        <x:v>Jan 3</x:v>
      </x:c>
      <x:c r="Q4" s="30" t="n">
        <x:f>'Forecast Data'!B6</x:f>
        <x:v>1750</x:v>
      </x:c>
      <x:c r="R4" s="30" t="n">
        <x:f>'Forecast Data'!F6</x:f>
        <x:v>1712</x:v>
      </x:c>
      <x:c r="S4" s="30" t="n">
        <x:f>'Forecast Data'!E6</x:f>
        <x:v>2500</x:v>
      </x:c>
      <x:c r="T4" s="32" t="n">
        <x:f>'Forecast Data'!K6</x:f>
        <x:v>207138.6</x:v>
      </x:c>
      <x:c r="U4" s="32" t="n">
        <x:f>'Forecast Data'!N6</x:f>
        <x:v>188563.48</x:v>
      </x:c>
    </x:row>
    <x:row r="5" ht="28" customHeight="1">
      <x:c r="A5" s="171" t="str">
        <x:v>Forecast Tickets</x:v>
      </x:c>
      <x:c r="B5" s="27"/>
      <x:c r="C5" s="27"/>
      <x:c r="D5" s="171" t="str">
        <x:v>Net Revenue</x:v>
      </x:c>
      <x:c r="E5" s="27"/>
      <x:c r="F5" s="27"/>
      <x:c r="G5" s="171" t="str">
        <x:v>Peak Capacity Used</x:v>
      </x:c>
      <x:c r="H5" s="27"/>
      <x:c r="I5" s="27"/>
      <x:c r="J5" s="171" t="str">
        <x:v>Dates Requiring Review</x:v>
      </x:c>
      <x:c r="K5" s="27"/>
      <x:c r="L5" s="27"/>
      <x:c r="M5" s="27"/>
      <x:c r="N5" s="27"/>
      <x:c r="O5" s="27"/>
      <x:c r="P5" s="27" t="str">
        <x:f>'Forecast Data'!AG7</x:f>
        <x:v>Jan 4</x:v>
      </x:c>
      <x:c r="Q5" s="30" t="n">
        <x:f>'Forecast Data'!B7</x:f>
        <x:v>1515.34</x:v>
      </x:c>
      <x:c r="R5" s="30" t="n">
        <x:f>'Forecast Data'!F7</x:f>
        <x:v>1448</x:v>
      </x:c>
      <x:c r="S5" s="30" t="n">
        <x:f>'Forecast Data'!E7</x:f>
        <x:v>2500</x:v>
      </x:c>
      <x:c r="T5" s="32" t="n">
        <x:f>'Forecast Data'!K7</x:f>
        <x:v>183571.08</x:v>
      </x:c>
      <x:c r="U5" s="32" t="n">
        <x:f>'Forecast Data'!N7</x:f>
        <x:v>163062.9</x:v>
      </x:c>
    </x:row>
    <x:row r="6" ht="20" customHeight="1">
      <x:c r="A6" s="172" t="n">
        <x:f>SUM('Forecast Data'!$B$4:$B$33)</x:f>
        <x:v>37722.17</x:v>
      </x:c>
      <x:c r="B6" s="27"/>
      <x:c r="C6" s="27"/>
      <x:c r="D6" s="173" t="n">
        <x:f>SUM('Forecast Data'!$K$4:$K$33)</x:f>
        <x:v>4227898.240000001</x:v>
      </x:c>
      <x:c r="E6" s="27"/>
      <x:c r="F6" s="27"/>
      <x:c r="G6" s="174" t="n">
        <x:f>MAX('Forecast Data'!$I$4:$I$33)</x:f>
        <x:v>0.71854</x:v>
      </x:c>
      <x:c r="H6" s="27"/>
      <x:c r="I6" s="27"/>
      <x:c r="J6" s="172" t="n">
        <x:f>COUNTIFS('Forecast Data'!$Q$4:$Q$33,"Review")</x:f>
        <x:v>2</x:v>
      </x:c>
      <x:c r="K6" s="27"/>
      <x:c r="L6" s="27"/>
      <x:c r="M6" s="27"/>
      <x:c r="N6" s="27"/>
      <x:c r="O6" s="27"/>
      <x:c r="P6" s="27" t="str">
        <x:f>'Forecast Data'!AG8</x:f>
        <x:v>Jan 5</x:v>
      </x:c>
      <x:c r="Q6" s="30" t="n">
        <x:f>'Forecast Data'!B8</x:f>
        <x:v>1004.06</x:v>
      </x:c>
      <x:c r="R6" s="30" t="n">
        <x:f>'Forecast Data'!F8</x:f>
        <x:v>1024</x:v>
      </x:c>
      <x:c r="S6" s="30" t="n">
        <x:f>'Forecast Data'!E8</x:f>
        <x:v>2350</x:v>
      </x:c>
      <x:c r="T6" s="32" t="n">
        <x:f>'Forecast Data'!K8</x:f>
        <x:v>106334.46</x:v>
      </x:c>
      <x:c r="U6" s="32" t="n">
        <x:f>'Forecast Data'!N8</x:f>
        <x:v>101410.04</x:v>
      </x:c>
    </x:row>
    <x:row r="7" ht="20" customHeight="1">
      <x:c r="A7" s="150"/>
      <x:c r="B7" s="27"/>
      <x:c r="C7" s="27"/>
      <x:c r="D7" s="150"/>
      <x:c r="E7" s="27"/>
      <x:c r="F7" s="27"/>
      <x:c r="G7" s="150"/>
      <x:c r="H7" s="27"/>
      <x:c r="I7" s="27"/>
      <x:c r="J7" s="150"/>
      <x:c r="K7" s="27"/>
      <x:c r="L7" s="27"/>
      <x:c r="M7" s="27"/>
      <x:c r="N7" s="27"/>
      <x:c r="O7" s="27"/>
      <x:c r="P7" s="27" t="str">
        <x:f>'Forecast Data'!AG9</x:f>
        <x:v>Jan 6</x:v>
      </x:c>
      <x:c r="Q7" s="30" t="n">
        <x:f>'Forecast Data'!B9</x:f>
        <x:v>949.74</x:v>
      </x:c>
      <x:c r="R7" s="30" t="n">
        <x:f>'Forecast Data'!F9</x:f>
        <x:v>990</x:v>
      </x:c>
      <x:c r="S7" s="30" t="n">
        <x:f>'Forecast Data'!E9</x:f>
        <x:v>2350</x:v>
      </x:c>
      <x:c r="T7" s="32" t="n">
        <x:f>'Forecast Data'!K9</x:f>
        <x:v>99678.81</x:v>
      </x:c>
      <x:c r="U7" s="32" t="n">
        <x:f>'Forecast Data'!N9</x:f>
        <x:v>96642</x:v>
      </x:c>
    </x:row>
    <x:row r="8" ht="20" customHeight="1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 t="str">
        <x:f>'Forecast Data'!AG10</x:f>
        <x:v>Jan 7</x:v>
      </x:c>
      <x:c r="Q8" s="30" t="n">
        <x:f>'Forecast Data'!B10</x:f>
        <x:v>958.93</x:v>
      </x:c>
      <x:c r="R8" s="30" t="n">
        <x:f>'Forecast Data'!F10</x:f>
        <x:v>985</x:v>
      </x:c>
      <x:c r="S8" s="30" t="n">
        <x:f>'Forecast Data'!E10</x:f>
        <x:v>2350</x:v>
      </x:c>
      <x:c r="T8" s="32" t="n">
        <x:f>'Forecast Data'!K10</x:f>
        <x:v>103413.1</x:v>
      </x:c>
      <x:c r="U8" s="32" t="n">
        <x:f>'Forecast Data'!N10</x:f>
        <x:v>98807.35</x:v>
      </x:c>
    </x:row>
    <x:row r="9" ht="20" customHeight="1">
      <x:c r="A9" s="175" t="str">
        <x:v>Dates requiring review</x:v>
      </x:c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 t="str">
        <x:f>'Forecast Data'!AG11</x:f>
        <x:v>Jan 8</x:v>
      </x:c>
      <x:c r="Q9" s="30" t="n">
        <x:f>'Forecast Data'!B11</x:f>
        <x:v>1102.72</x:v>
      </x:c>
      <x:c r="R9" s="30" t="n">
        <x:f>'Forecast Data'!F11</x:f>
        <x:v>1120</x:v>
      </x:c>
      <x:c r="S9" s="30" t="n">
        <x:f>'Forecast Data'!E11</x:f>
        <x:v>2350</x:v>
      </x:c>
      <x:c r="T9" s="32" t="n">
        <x:f>'Forecast Data'!K11</x:f>
        <x:v>115195.49</x:v>
      </x:c>
      <x:c r="U9" s="32" t="n">
        <x:f>'Forecast Data'!N11</x:f>
        <x:v>109027.13</x:v>
      </x:c>
    </x:row>
    <x:row r="10" ht="20" customHeight="1">
      <x:c r="A10" s="50" t="str">
        <x:v>Date</x:v>
      </x:c>
      <x:c r="B10" s="51" t="str">
        <x:v>Recommended Decision</x:v>
      </x:c>
      <x:c r="C10" s="51" t="str">
        <x:v>Demand</x:v>
      </x:c>
      <x:c r="D10" s="51" t="str">
        <x:v>Capacity Used</x:v>
      </x:c>
      <x:c r="E10" s="51" t="str">
        <x:v>Net Revenue</x:v>
      </x:c>
      <x:c r="F10" s="51" t="str">
        <x:v>Revenue vs Target</x:v>
      </x:c>
      <x:c r="G10" s="51" t="str">
        <x:v>Owner</x:v>
      </x:c>
      <x:c r="H10" s="52" t="str">
        <x:v>Status</x:v>
      </x:c>
      <x:c r="I10" s="27"/>
      <x:c r="J10" s="27"/>
      <x:c r="K10" s="27"/>
      <x:c r="L10" s="27"/>
      <x:c r="M10" s="27"/>
      <x:c r="N10" s="27"/>
      <x:c r="O10" s="27"/>
      <x:c r="P10" s="27" t="str">
        <x:f>'Forecast Data'!AG12</x:f>
        <x:v>Jan 9</x:v>
      </x:c>
      <x:c r="Q10" s="30" t="n">
        <x:f>'Forecast Data'!B12</x:f>
        <x:v>1323.02</x:v>
      </x:c>
      <x:c r="R10" s="30" t="n">
        <x:f>'Forecast Data'!F12</x:f>
        <x:v>1333</x:v>
      </x:c>
      <x:c r="S10" s="30" t="n">
        <x:f>'Forecast Data'!E12</x:f>
        <x:v>2350</x:v>
      </x:c>
      <x:c r="T10" s="32" t="n">
        <x:f>'Forecast Data'!K12</x:f>
        <x:v>138109.1</x:v>
      </x:c>
      <x:c r="U10" s="32" t="n">
        <x:f>'Forecast Data'!N12</x:f>
        <x:v>129936.66</x:v>
      </x:c>
    </x:row>
    <x:row r="11" ht="20" customHeight="1">
      <x:c r="A11" s="152" t="n">
        <x:f>INDEX('Forecast Data'!$A$4:$A$33,MATCH(1,'Forecast Data'!$T$4:$T$33,0))</x:f>
        <x:v>46032</x:v>
      </x:c>
      <x:c r="B11" s="153" t="str">
        <x:f>INDEX('Forecast Data'!$R$4:$R$33,MATCH(1,'Forecast Data'!$T$4:$T$33,0))</x:f>
        <x:v>Protect price: revenue is 9.3% above plan.</x:v>
      </x:c>
      <x:c r="C11" s="154" t="n">
        <x:f>INDEX('Forecast Data'!$B$4:$B$33,MATCH(1,'Forecast Data'!$T$4:$T$33,0))</x:f>
        <x:v>1773.2</x:v>
      </x:c>
      <x:c r="D11" s="155" t="n">
        <x:f>INDEX('Forecast Data'!$I$4:$I$33,MATCH(1,'Forecast Data'!$T$4:$T$33,0))</x:f>
        <x:v>0.70928</x:v>
      </x:c>
      <x:c r="E11" s="156" t="n">
        <x:f>INDEX('Forecast Data'!$K$4:$K$33,MATCH(1,'Forecast Data'!$T$4:$T$33,0))</x:f>
        <x:v>206348.69</x:v>
      </x:c>
      <x:c r="F11" s="155" t="n">
        <x:f>INDEX('Forecast Data'!$P$4:$P$33,MATCH(1,'Forecast Data'!$T$4:$T$33,0))</x:f>
        <x:v>0.09317340001653936</x:v>
      </x:c>
      <x:c r="G11" s="157" t="str">
        <x:f>INDEX('Daily Plan'!$I$6:$I$35,MATCH(A11,'Daily Plan'!$A$6:$A$35,0))</x:f>
      </x:c>
      <x:c r="H11" s="158" t="str">
        <x:f>INDEX('Daily Plan'!$J$6:$J$35,MATCH(A11,'Daily Plan'!$A$6:$A$35,0))</x:f>
        <x:v>Not reviewed</x:v>
      </x:c>
      <x:c r="I11" s="27"/>
      <x:c r="J11" s="27"/>
      <x:c r="K11" s="27"/>
      <x:c r="L11" s="27"/>
      <x:c r="M11" s="27"/>
      <x:c r="N11" s="27"/>
      <x:c r="O11" s="27"/>
      <x:c r="P11" s="27" t="str">
        <x:f>'Forecast Data'!AG13</x:f>
        <x:v>Jan 10</x:v>
      </x:c>
      <x:c r="Q11" s="30" t="n">
        <x:f>'Forecast Data'!B13</x:f>
        <x:v>1773.2</x:v>
      </x:c>
      <x:c r="R11" s="30" t="n">
        <x:f>'Forecast Data'!F13</x:f>
        <x:v>1737</x:v>
      </x:c>
      <x:c r="S11" s="30" t="n">
        <x:f>'Forecast Data'!E13</x:f>
        <x:v>2500</x:v>
      </x:c>
      <x:c r="T11" s="32" t="n">
        <x:f>'Forecast Data'!K13</x:f>
        <x:v>206348.69</x:v>
      </x:c>
      <x:c r="U11" s="32" t="n">
        <x:f>'Forecast Data'!N13</x:f>
        <x:v>188761.17</x:v>
      </x:c>
    </x:row>
    <x:row r="12" ht="20" customHeight="1">
      <x:c r="A12" s="159" t="n">
        <x:f>INDEX('Forecast Data'!$A$4:$A$33,MATCH(2,'Forecast Data'!$T$4:$T$33,0))</x:f>
        <x:v>46041</x:v>
      </x:c>
      <x:c r="B12" s="160" t="str">
        <x:f>INDEX('Forecast Data'!$R$4:$R$33,MATCH(2,'Forecast Data'!$T$4:$T$33,0))</x:f>
        <x:v>Monitor revenue: forecast is 3.0% below plan, but the target remains within the forecast range.</x:v>
      </x:c>
      <x:c r="C12" s="161" t="n">
        <x:f>INDEX('Forecast Data'!$B$4:$B$33,MATCH(2,'Forecast Data'!$T$4:$T$33,0))</x:f>
        <x:v>1074.92</x:v>
      </x:c>
      <x:c r="D12" s="162" t="n">
        <x:f>INDEX('Forecast Data'!$I$4:$I$33,MATCH(2,'Forecast Data'!$T$4:$T$33,0))</x:f>
        <x:v>0.429968</x:v>
      </x:c>
      <x:c r="E12" s="163" t="n">
        <x:f>INDEX('Forecast Data'!$K$4:$K$33,MATCH(2,'Forecast Data'!$T$4:$T$33,0))</x:f>
        <x:v>138177.36</x:v>
      </x:c>
      <x:c r="F12" s="162" t="n">
        <x:f>INDEX('Forecast Data'!$P$4:$P$33,MATCH(2,'Forecast Data'!$T$4:$T$33,0))</x:f>
        <x:v>-0.02985979809071527</x:v>
      </x:c>
      <x:c r="G12" s="164" t="str">
        <x:f>INDEX('Daily Plan'!$I$6:$I$35,MATCH(A12,'Daily Plan'!$A$6:$A$35,0))</x:f>
      </x:c>
      <x:c r="H12" s="165" t="str">
        <x:f>INDEX('Daily Plan'!$J$6:$J$35,MATCH(A12,'Daily Plan'!$A$6:$A$35,0))</x:f>
        <x:v>Not reviewed</x:v>
      </x:c>
      <x:c r="I12" s="27"/>
      <x:c r="J12" s="27"/>
      <x:c r="K12" s="27"/>
      <x:c r="L12" s="27"/>
      <x:c r="M12" s="27"/>
      <x:c r="N12" s="27"/>
      <x:c r="O12" s="27"/>
      <x:c r="P12" s="27" t="str">
        <x:f>'Forecast Data'!AG14</x:f>
        <x:v>Jan 11</x:v>
      </x:c>
      <x:c r="Q12" s="30" t="n">
        <x:f>'Forecast Data'!B14</x:f>
        <x:v>1555.78</x:v>
      </x:c>
      <x:c r="R12" s="30" t="n">
        <x:f>'Forecast Data'!F14</x:f>
        <x:v>1532</x:v>
      </x:c>
      <x:c r="S12" s="30" t="n">
        <x:f>'Forecast Data'!E14</x:f>
        <x:v>2500</x:v>
      </x:c>
      <x:c r="T12" s="32" t="n">
        <x:f>'Forecast Data'!K14</x:f>
        <x:v>178326.75</x:v>
      </x:c>
      <x:c r="U12" s="32" t="n">
        <x:f>'Forecast Data'!N14</x:f>
        <x:v>163818.07</x:v>
      </x:c>
    </x:row>
    <x:row r="13" ht="20" customHeight="1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 t="str">
        <x:f>'Forecast Data'!AG15</x:f>
        <x:v>Jan 12</x:v>
      </x:c>
      <x:c r="Q13" s="30" t="n">
        <x:f>'Forecast Data'!B15</x:f>
        <x:v>988.55</x:v>
      </x:c>
      <x:c r="R13" s="30" t="n">
        <x:f>'Forecast Data'!F15</x:f>
        <x:v>1009</x:v>
      </x:c>
      <x:c r="S13" s="30" t="n">
        <x:f>'Forecast Data'!E15</x:f>
        <x:v>2350</x:v>
      </x:c>
      <x:c r="T13" s="32" t="n">
        <x:f>'Forecast Data'!K15</x:f>
        <x:v>106429.19</x:v>
      </x:c>
      <x:c r="U13" s="32" t="n">
        <x:f>'Forecast Data'!N15</x:f>
        <x:v>101288.88</x:v>
      </x:c>
    </x:row>
    <x:row r="14" ht="20" customHeight="1">
      <x:c r="A14" s="176" t="str">
        <x:v>Forecast accuracy</x:v>
      </x:c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 t="str">
        <x:f>'Forecast Data'!AG16</x:f>
        <x:v>Jan 13</x:v>
      </x:c>
      <x:c r="Q14" s="30" t="n">
        <x:f>'Forecast Data'!B16</x:f>
        <x:v>947.23</x:v>
      </x:c>
      <x:c r="R14" s="30" t="n">
        <x:f>'Forecast Data'!F16</x:f>
        <x:v>976</x:v>
      </x:c>
      <x:c r="S14" s="30" t="n">
        <x:f>'Forecast Data'!E16</x:f>
        <x:v>2350</x:v>
      </x:c>
      <x:c r="T14" s="32" t="n">
        <x:f>'Forecast Data'!K16</x:f>
        <x:v>100619.78</x:v>
      </x:c>
      <x:c r="U14" s="32" t="n">
        <x:f>'Forecast Data'!N16</x:f>
        <x:v>96472.29</x:v>
      </x:c>
    </x:row>
    <x:row r="15" ht="20" customHeight="1">
      <x:c r="A15" s="27" t="str">
        <x:v>Daily demand error (MAE)</x:v>
      </x:c>
      <x:c r="B15" s="27"/>
      <x:c r="C15" s="27"/>
      <x:c r="D15" s="27" t="str">
        <x:v>Revenue error (WAPE)</x:v>
      </x:c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 t="str">
        <x:f>'Forecast Data'!AG17</x:f>
        <x:v>Jan 14</x:v>
      </x:c>
      <x:c r="Q15" s="30" t="n">
        <x:f>'Forecast Data'!B17</x:f>
        <x:v>996.8</x:v>
      </x:c>
      <x:c r="R15" s="30" t="n">
        <x:f>'Forecast Data'!F17</x:f>
        <x:v>1019</x:v>
      </x:c>
      <x:c r="S15" s="30" t="n">
        <x:f>'Forecast Data'!E17</x:f>
        <x:v>2350</x:v>
      </x:c>
      <x:c r="T15" s="32" t="n">
        <x:f>'Forecast Data'!K17</x:f>
        <x:v>104164.57</x:v>
      </x:c>
      <x:c r="U15" s="32" t="n">
        <x:f>'Forecast Data'!N17</x:f>
        <x:v>99109.77</x:v>
      </x:c>
    </x:row>
    <x:row r="16" ht="20" customHeight="1">
      <x:c r="A16" s="166" t="n">
        <x:f>'Forecast Data'!AD4</x:f>
        <x:v>103.25</x:v>
      </x:c>
      <x:c r="B16" s="27"/>
      <x:c r="C16" s="27"/>
      <x:c r="D16" s="167" t="n">
        <x:f>'Forecast Data'!AE4</x:f>
        <x:v>0.0751</x:v>
      </x:c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 t="str">
        <x:f>'Forecast Data'!AG18</x:f>
        <x:v>Jan 15</x:v>
      </x:c>
      <x:c r="Q16" s="30" t="n">
        <x:f>'Forecast Data'!B18</x:f>
        <x:v>1059.57</x:v>
      </x:c>
      <x:c r="R16" s="30" t="n">
        <x:f>'Forecast Data'!F18</x:f>
        <x:v>1062</x:v>
      </x:c>
      <x:c r="S16" s="30" t="n">
        <x:f>'Forecast Data'!E18</x:f>
        <x:v>2350</x:v>
      </x:c>
      <x:c r="T16" s="32" t="n">
        <x:f>'Forecast Data'!K18</x:f>
        <x:v>116432.98</x:v>
      </x:c>
      <x:c r="U16" s="32" t="n">
        <x:f>'Forecast Data'!N18</x:f>
        <x:v>108457.18</x:v>
      </x:c>
    </x:row>
    <x:row r="17" ht="20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 t="str">
        <x:f>'Forecast Data'!AG19</x:f>
        <x:v>Jan 16</x:v>
      </x:c>
      <x:c r="Q17" s="30" t="n">
        <x:f>'Forecast Data'!B19</x:f>
        <x:v>1264.78</x:v>
      </x:c>
      <x:c r="R17" s="30" t="n">
        <x:f>'Forecast Data'!F19</x:f>
        <x:v>1240</x:v>
      </x:c>
      <x:c r="S17" s="30" t="n">
        <x:f>'Forecast Data'!E19</x:f>
        <x:v>2350</x:v>
      </x:c>
      <x:c r="T17" s="32" t="n">
        <x:f>'Forecast Data'!K19</x:f>
        <x:v>141717.43</x:v>
      </x:c>
      <x:c r="U17" s="32" t="n">
        <x:f>'Forecast Data'!N19</x:f>
        <x:v>129032.45</x:v>
      </x:c>
    </x:row>
    <x:row r="18" ht="20" customHeight="1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 t="str">
        <x:f>'Forecast Data'!AG20</x:f>
        <x:v>Jan 17</x:v>
      </x:c>
      <x:c r="Q18" s="30" t="n">
        <x:f>'Forecast Data'!B20</x:f>
        <x:v>1790.5</x:v>
      </x:c>
      <x:c r="R18" s="30" t="n">
        <x:f>'Forecast Data'!F20</x:f>
        <x:v>1771</x:v>
      </x:c>
      <x:c r="S18" s="30" t="n">
        <x:f>'Forecast Data'!E20</x:f>
        <x:v>2500</x:v>
      </x:c>
      <x:c r="T18" s="32" t="n">
        <x:f>'Forecast Data'!K20</x:f>
        <x:v>205064.23</x:v>
      </x:c>
      <x:c r="U18" s="32" t="n">
        <x:f>'Forecast Data'!N20</x:f>
        <x:v>189146.29</x:v>
      </x:c>
    </x:row>
    <x:row r="19" ht="20" customHeight="1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 t="str">
        <x:f>'Forecast Data'!AG21</x:f>
        <x:v>Jan 18</x:v>
      </x:c>
      <x:c r="Q19" s="30" t="n">
        <x:f>'Forecast Data'!B21</x:f>
        <x:v>1564.07</x:v>
      </x:c>
      <x:c r="R19" s="30" t="n">
        <x:f>'Forecast Data'!F21</x:f>
        <x:v>1548</x:v>
      </x:c>
      <x:c r="S19" s="30" t="n">
        <x:f>'Forecast Data'!E21</x:f>
        <x:v>2500</x:v>
      </x:c>
      <x:c r="T19" s="32" t="n">
        <x:f>'Forecast Data'!K21</x:f>
        <x:v>177475.08</x:v>
      </x:c>
      <x:c r="U19" s="32" t="n">
        <x:f>'Forecast Data'!N21</x:f>
        <x:v>163982.74</x:v>
      </x:c>
    </x:row>
    <x:row r="20" ht="20" customHeight="1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 t="str">
        <x:f>'Forecast Data'!AG22</x:f>
        <x:v>Jan 19</x:v>
      </x:c>
      <x:c r="Q20" s="30" t="n">
        <x:f>'Forecast Data'!B22</x:f>
        <x:v>1074.92</x:v>
      </x:c>
      <x:c r="R20" s="30" t="n">
        <x:f>'Forecast Data'!F22</x:f>
        <x:v>1183</x:v>
      </x:c>
      <x:c r="S20" s="30" t="n">
        <x:f>'Forecast Data'!E22</x:f>
        <x:v>2500</x:v>
      </x:c>
      <x:c r="T20" s="32" t="n">
        <x:f>'Forecast Data'!K22</x:f>
        <x:v>138177.36</x:v>
      </x:c>
      <x:c r="U20" s="32" t="n">
        <x:f>'Forecast Data'!N22</x:f>
        <x:v>142430.3</x:v>
      </x:c>
    </x:row>
    <x:row r="21" ht="20" customHeight="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 t="str">
        <x:f>'Forecast Data'!AG23</x:f>
        <x:v>Jan 20</x:v>
      </x:c>
      <x:c r="Q21" s="30" t="n">
        <x:f>'Forecast Data'!B23</x:f>
        <x:v>959.2</x:v>
      </x:c>
      <x:c r="R21" s="30" t="n">
        <x:f>'Forecast Data'!F23</x:f>
        <x:v>989</x:v>
      </x:c>
      <x:c r="S21" s="30" t="n">
        <x:f>'Forecast Data'!E23</x:f>
        <x:v>2350</x:v>
      </x:c>
      <x:c r="T21" s="32" t="n">
        <x:f>'Forecast Data'!K23</x:f>
        <x:v>100695.61</x:v>
      </x:c>
      <x:c r="U21" s="32" t="n">
        <x:f>'Forecast Data'!N23</x:f>
        <x:v>96565.11</x:v>
      </x:c>
    </x:row>
    <x:row r="22" ht="20" customHeight="1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 t="str">
        <x:f>'Forecast Data'!AG24</x:f>
        <x:v>Jan 21</x:v>
      </x:c>
      <x:c r="Q22" s="30" t="n">
        <x:f>'Forecast Data'!B24</x:f>
        <x:v>964.35</x:v>
      </x:c>
      <x:c r="R22" s="30" t="n">
        <x:f>'Forecast Data'!F24</x:f>
        <x:v>976</x:v>
      </x:c>
      <x:c r="S22" s="30" t="n">
        <x:f>'Forecast Data'!E24</x:f>
        <x:v>2350</x:v>
      </x:c>
      <x:c r="T22" s="32" t="n">
        <x:f>'Forecast Data'!K24</x:f>
        <x:v>104755.54</x:v>
      </x:c>
      <x:c r="U22" s="32" t="n">
        <x:f>'Forecast Data'!N24</x:f>
        <x:v>98733.2</x:v>
      </x:c>
    </x:row>
    <x:row r="23" ht="20" customHeight="1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 t="str">
        <x:f>'Forecast Data'!AG25</x:f>
        <x:v>Jan 22</x:v>
      </x:c>
      <x:c r="Q23" s="30" t="n">
        <x:f>'Forecast Data'!B25</x:f>
        <x:v>1076.91</x:v>
      </x:c>
      <x:c r="R23" s="30" t="n">
        <x:f>'Forecast Data'!F25</x:f>
        <x:v>1085</x:v>
      </x:c>
      <x:c r="S23" s="30" t="n">
        <x:f>'Forecast Data'!E25</x:f>
        <x:v>2350</x:v>
      </x:c>
      <x:c r="T23" s="32" t="n">
        <x:f>'Forecast Data'!K25</x:f>
        <x:v>115912.87</x:v>
      </x:c>
      <x:c r="U23" s="32" t="n">
        <x:f>'Forecast Data'!N25</x:f>
        <x:v>108736.2</x:v>
      </x:c>
    </x:row>
    <x:row r="24" ht="20" customHeight="1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 t="str">
        <x:f>'Forecast Data'!AG26</x:f>
        <x:v>Jan 23</x:v>
      </x:c>
      <x:c r="Q24" s="30" t="n">
        <x:f>'Forecast Data'!B26</x:f>
        <x:v>1288.77</x:v>
      </x:c>
      <x:c r="R24" s="30" t="n">
        <x:f>'Forecast Data'!F26</x:f>
        <x:v>1277</x:v>
      </x:c>
      <x:c r="S24" s="30" t="n">
        <x:f>'Forecast Data'!E26</x:f>
        <x:v>2350</x:v>
      </x:c>
      <x:c r="T24" s="32" t="n">
        <x:f>'Forecast Data'!K26</x:f>
        <x:v>139935.05</x:v>
      </x:c>
      <x:c r="U24" s="32" t="n">
        <x:f>'Forecast Data'!N26</x:f>
        <x:v>129456</x:v>
      </x:c>
    </x:row>
    <x:row r="25" ht="20" customHeight="1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 t="str">
        <x:f>'Forecast Data'!AG27</x:f>
        <x:v>Jan 24</x:v>
      </x:c>
      <x:c r="Q25" s="30" t="n">
        <x:f>'Forecast Data'!B27</x:f>
        <x:v>1796.35</x:v>
      </x:c>
      <x:c r="R25" s="30" t="n">
        <x:f>'Forecast Data'!F27</x:f>
        <x:v>1781</x:v>
      </x:c>
      <x:c r="S25" s="30" t="n">
        <x:f>'Forecast Data'!E27</x:f>
        <x:v>2500</x:v>
      </x:c>
      <x:c r="T25" s="32" t="n">
        <x:f>'Forecast Data'!K27</x:f>
        <x:v>204695.9</x:v>
      </x:c>
      <x:c r="U25" s="32" t="n">
        <x:f>'Forecast Data'!N27</x:f>
        <x:v>189181.37</x:v>
      </x:c>
    </x:row>
    <x:row r="26" ht="20" customHeight="1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 t="str">
        <x:f>'Forecast Data'!AG28</x:f>
        <x:v>Jan 25</x:v>
      </x:c>
      <x:c r="Q26" s="30" t="n">
        <x:f>'Forecast Data'!B28</x:f>
        <x:v>1551.97</x:v>
      </x:c>
      <x:c r="R26" s="30" t="n">
        <x:f>'Forecast Data'!F28</x:f>
        <x:v>1525</x:v>
      </x:c>
      <x:c r="S26" s="30" t="n">
        <x:f>'Forecast Data'!E28</x:f>
        <x:v>2500</x:v>
      </x:c>
      <x:c r="T26" s="32" t="n">
        <x:f>'Forecast Data'!K28</x:f>
        <x:v>178623.97</x:v>
      </x:c>
      <x:c r="U26" s="32" t="n">
        <x:f>'Forecast Data'!N28</x:f>
        <x:v>163839.37</x:v>
      </x:c>
    </x:row>
    <x:row r="27" ht="20" customHeight="1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 t="str">
        <x:f>'Forecast Data'!AG29</x:f>
        <x:v>Jan 26</x:v>
      </x:c>
      <x:c r="Q27" s="30" t="n">
        <x:f>'Forecast Data'!B29</x:f>
        <x:v>1010.37</x:v>
      </x:c>
      <x:c r="R27" s="30" t="n">
        <x:f>'Forecast Data'!F29</x:f>
        <x:v>1036</x:v>
      </x:c>
      <x:c r="S27" s="30" t="n">
        <x:f>'Forecast Data'!E29</x:f>
        <x:v>2350</x:v>
      </x:c>
      <x:c r="T27" s="32" t="n">
        <x:f>'Forecast Data'!K29</x:f>
        <x:v>105965.74</x:v>
      </x:c>
      <x:c r="U27" s="32" t="n">
        <x:f>'Forecast Data'!N29</x:f>
        <x:v>101545.08</x:v>
      </x:c>
    </x:row>
    <x:row r="28" ht="20" customHeight="1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 t="str">
        <x:f>'Forecast Data'!AG30</x:f>
        <x:v>Jan 27</x:v>
      </x:c>
      <x:c r="Q28" s="30" t="n">
        <x:f>'Forecast Data'!B30</x:f>
        <x:v>914.01</x:v>
      </x:c>
      <x:c r="R28" s="30" t="n">
        <x:f>'Forecast Data'!F30</x:f>
        <x:v>934</x:v>
      </x:c>
      <x:c r="S28" s="30" t="n">
        <x:f>'Forecast Data'!E30</x:f>
        <x:v>2350</x:v>
      </x:c>
      <x:c r="T28" s="32" t="n">
        <x:f>'Forecast Data'!K30</x:f>
        <x:v>101608.23</x:v>
      </x:c>
      <x:c r="U28" s="32" t="n">
        <x:f>'Forecast Data'!N30</x:f>
        <x:v>96109.6</x:v>
      </x:c>
    </x:row>
    <x:row r="29" ht="20" customHeight="1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 t="str">
        <x:f>'Forecast Data'!AG31</x:f>
        <x:v>Jan 28</x:v>
      </x:c>
      <x:c r="Q29" s="30" t="n">
        <x:f>'Forecast Data'!B31</x:f>
        <x:v>995.97</x:v>
      </x:c>
      <x:c r="R29" s="30" t="n">
        <x:f>'Forecast Data'!F31</x:f>
        <x:v>1014</x:v>
      </x:c>
      <x:c r="S29" s="30" t="n">
        <x:f>'Forecast Data'!E31</x:f>
        <x:v>2350</x:v>
      </x:c>
      <x:c r="T29" s="32" t="n">
        <x:f>'Forecast Data'!K31</x:f>
        <x:v>104510.85</x:v>
      </x:c>
      <x:c r="U29" s="32" t="n">
        <x:f>'Forecast Data'!N31</x:f>
        <x:v>99027.35</x:v>
      </x:c>
    </x:row>
    <x:row r="30" ht="20" customHeight="1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 t="str">
        <x:f>'Forecast Data'!AG32</x:f>
        <x:v>Jan 29</x:v>
      </x:c>
      <x:c r="Q30" s="30" t="n">
        <x:f>'Forecast Data'!B32</x:f>
        <x:v>1075</x:v>
      </x:c>
      <x:c r="R30" s="30" t="n">
        <x:f>'Forecast Data'!F32</x:f>
        <x:v>1081</x:v>
      </x:c>
      <x:c r="S30" s="30" t="n">
        <x:f>'Forecast Data'!E32</x:f>
        <x:v>2350</x:v>
      </x:c>
      <x:c r="T30" s="32" t="n">
        <x:f>'Forecast Data'!K32</x:f>
        <x:v>115998.24</x:v>
      </x:c>
      <x:c r="U30" s="32" t="n">
        <x:f>'Forecast Data'!N32</x:f>
        <x:v>108675.26</x:v>
      </x:c>
    </x:row>
    <x:row r="31" ht="20" customHeight="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 t="str">
        <x:f>'Forecast Data'!AG33</x:f>
        <x:v>Jan 30</x:v>
      </x:c>
      <x:c r="Q31" s="30" t="n">
        <x:f>'Forecast Data'!B33</x:f>
        <x:v>1305.97</x:v>
      </x:c>
      <x:c r="R31" s="30" t="n">
        <x:f>'Forecast Data'!F33</x:f>
        <x:v>1303</x:v>
      </x:c>
      <x:c r="S31" s="30" t="n">
        <x:f>'Forecast Data'!E33</x:f>
        <x:v>2350</x:v>
      </x:c>
      <x:c r="T31" s="32" t="n">
        <x:f>'Forecast Data'!K33</x:f>
        <x:v>139199.76</x:v>
      </x:c>
      <x:c r="U31" s="32" t="n">
        <x:f>'Forecast Data'!N33</x:f>
        <x:v>129641.53</x:v>
      </x:c>
    </x:row>
    <x:row r="32" ht="20" customHeight="1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</x:row>
    <x:row r="33" ht="20" customHeight="1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</x:row>
    <x:row r="34" ht="20" customHeight="1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</x:row>
    <x:row r="35" ht="20" customHeight="1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</x:row>
  </x:sheetData>
  <x:mergeCells>
    <x:mergeCell ref="A2:N2"/>
    <x:mergeCell ref="A3:N3"/>
  </x:mergeCells>
  <x:pageMargins left="0.7" right="0.7" top="0.75" bottom="0.75" header="0.3" footer="0.3"/>
  <x:drawing xmlns:r="http://schemas.openxmlformats.org/officeDocument/2006/relationships" r:id="R8a82997a2e064297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5" hidden="0" customWidth="1"/>
    <x:col min="5" max="5" width="16" hidden="0" customWidth="1"/>
    <x:col min="6" max="6" width="17" hidden="0" customWidth="1"/>
    <x:col min="7" max="7" width="12" hidden="0" customWidth="1"/>
    <x:col min="8" max="8" width="58" hidden="0" customWidth="1"/>
    <x:col min="9" max="9" width="18" hidden="0" customWidth="1"/>
    <x:col min="10" max="10" width="16" hidden="0" customWidth="1"/>
    <x:col min="11" max="11" width="34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</x:row>
    <x:row r="2">
      <x:c r="A2" s="59" t="str">
        <x:v>January 2026 Daily Operating Plan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</x:row>
    <x:row r="3">
      <x:c r="A3" s="60" t="str">
        <x:v>Assign an owner and update status after the daily pricing, marketing, and operations review. Yellow cells are editable.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</x:row>
    <x:row r="5" ht="34" customHeight="1">
      <x:c r="A5" s="50" t="str">
        <x:v>Date</x:v>
      </x:c>
      <x:c r="B5" s="51" t="str">
        <x:v>Demand Forecast</x:v>
      </x:c>
      <x:c r="C5" s="51" t="str">
        <x:v>Demand vs Target</x:v>
      </x:c>
      <x:c r="D5" s="51" t="str">
        <x:v>Capacity Used</x:v>
      </x:c>
      <x:c r="E5" s="51" t="str">
        <x:v>Net Revenue</x:v>
      </x:c>
      <x:c r="F5" s="51" t="str">
        <x:v>Revenue vs Target</x:v>
      </x:c>
      <x:c r="G5" s="51" t="str">
        <x:v>Decision</x:v>
      </x:c>
      <x:c r="H5" s="51" t="str">
        <x:v>Recommended Decision</x:v>
      </x:c>
      <x:c r="I5" s="51" t="str">
        <x:v>Owner</x:v>
      </x:c>
      <x:c r="J5" s="51" t="str">
        <x:v>Status</x:v>
      </x:c>
      <x:c r="K5" s="52" t="str">
        <x:v>Notes</x:v>
      </x:c>
    </x:row>
    <x:row r="6" ht="22" customHeight="1">
      <x:c r="A6" s="62" t="n">
        <x:f>'Forecast Data'!A4</x:f>
        <x:v>46023</x:v>
      </x:c>
      <x:c r="B6" s="30" t="n">
        <x:f>'Forecast Data'!B4</x:f>
        <x:v>1591.95</x:v>
      </x:c>
      <x:c r="C6" s="31" t="n">
        <x:f>'Forecast Data'!H4</x:f>
        <x:v>0.01333545512412479</x:v>
      </x:c>
      <x:c r="D6" s="31" t="n">
        <x:f>'Forecast Data'!I4</x:f>
        <x:v>0.63678</x:v>
      </x:c>
      <x:c r="E6" s="32" t="n">
        <x:f>'Forecast Data'!K4</x:f>
        <x:v>195655.5</x:v>
      </x:c>
      <x:c r="F6" s="31" t="n">
        <x:f>'Forecast Data'!P4</x:f>
        <x:v>0.07631683236290589</x:v>
      </x:c>
      <x:c r="G6" s="27" t="str">
        <x:f>'Forecast Data'!Q4</x:f>
        <x:v>No change</x:v>
      </x:c>
      <x:c r="H6" s="63" t="str">
        <x:f>'Forecast Data'!R4</x:f>
        <x:v>Keep the current plan.</x:v>
      </x:c>
      <x:c r="I6" s="65"/>
      <x:c r="J6" s="65" t="str">
        <x:v>Not reviewed</x:v>
      </x:c>
      <x:c r="K6" s="65"/>
    </x:row>
    <x:row r="7" ht="22" customHeight="1">
      <x:c r="A7" s="62" t="n">
        <x:f>'Forecast Data'!A5</x:f>
        <x:v>46024</x:v>
      </x:c>
      <x:c r="B7" s="30" t="n">
        <x:f>'Forecast Data'!B5</x:f>
        <x:v>1572.14</x:v>
      </x:c>
      <x:c r="C7" s="31" t="n">
        <x:f>'Forecast Data'!H5</x:f>
        <x:v>-0.05178528347406508</x:v>
      </x:c>
      <x:c r="D7" s="31" t="n">
        <x:f>'Forecast Data'!I5</x:f>
        <x:v>0.6288560000000001</x:v>
      </x:c>
      <x:c r="E7" s="32" t="n">
        <x:f>'Forecast Data'!K5</x:f>
        <x:v>192144.28</x:v>
      </x:c>
      <x:c r="F7" s="31" t="n">
        <x:f>'Forecast Data'!P5</x:f>
        <x:v>0.008768170508368594</x:v>
      </x:c>
      <x:c r="G7" s="27" t="str">
        <x:f>'Forecast Data'!Q5</x:f>
        <x:v>No change</x:v>
      </x:c>
      <x:c r="H7" s="63" t="str">
        <x:f>'Forecast Data'!R5</x:f>
        <x:v>Keep the current plan.</x:v>
      </x:c>
      <x:c r="I7" s="65"/>
      <x:c r="J7" s="65" t="str">
        <x:v>Not reviewed</x:v>
      </x:c>
      <x:c r="K7" s="65"/>
    </x:row>
    <x:row r="8" ht="22" customHeight="1">
      <x:c r="A8" s="62" t="n">
        <x:f>'Forecast Data'!A6</x:f>
        <x:v>46025</x:v>
      </x:c>
      <x:c r="B8" s="30" t="n">
        <x:f>'Forecast Data'!B6</x:f>
        <x:v>1750</x:v>
      </x:c>
      <x:c r="C8" s="31" t="n">
        <x:f>'Forecast Data'!H6</x:f>
        <x:v>0.02219626168224299</x:v>
      </x:c>
      <x:c r="D8" s="31" t="n">
        <x:f>'Forecast Data'!I6</x:f>
        <x:v>0.7</x:v>
      </x:c>
      <x:c r="E8" s="32" t="n">
        <x:f>'Forecast Data'!K6</x:f>
        <x:v>207138.6</x:v>
      </x:c>
      <x:c r="F8" s="31" t="n">
        <x:f>'Forecast Data'!P6</x:f>
        <x:v>0.09850857652818029</x:v>
      </x:c>
      <x:c r="G8" s="27" t="str">
        <x:f>'Forecast Data'!Q6</x:f>
        <x:v>No change</x:v>
      </x:c>
      <x:c r="H8" s="63" t="str">
        <x:f>'Forecast Data'!R6</x:f>
        <x:v>Keep the current plan.</x:v>
      </x:c>
      <x:c r="I8" s="65"/>
      <x:c r="J8" s="65" t="str">
        <x:v>Not reviewed</x:v>
      </x:c>
      <x:c r="K8" s="65"/>
    </x:row>
    <x:row r="9" ht="22" customHeight="1">
      <x:c r="A9" s="62" t="n">
        <x:f>'Forecast Data'!A7</x:f>
        <x:v>46026</x:v>
      </x:c>
      <x:c r="B9" s="30" t="n">
        <x:f>'Forecast Data'!B7</x:f>
        <x:v>1515.34</x:v>
      </x:c>
      <x:c r="C9" s="31" t="n">
        <x:f>'Forecast Data'!H7</x:f>
        <x:v>0.046505524861878395</x:v>
      </x:c>
      <x:c r="D9" s="31" t="n">
        <x:f>'Forecast Data'!I7</x:f>
        <x:v>0.606136</x:v>
      </x:c>
      <x:c r="E9" s="32" t="n">
        <x:f>'Forecast Data'!K7</x:f>
        <x:v>183571.08</x:v>
      </x:c>
      <x:c r="F9" s="31" t="n">
        <x:f>'Forecast Data'!P7</x:f>
        <x:v>0.12576852245360529</x:v>
      </x:c>
      <x:c r="G9" s="27" t="str">
        <x:f>'Forecast Data'!Q7</x:f>
        <x:v>No change</x:v>
      </x:c>
      <x:c r="H9" s="63" t="str">
        <x:f>'Forecast Data'!R7</x:f>
        <x:v>Keep the current plan.</x:v>
      </x:c>
      <x:c r="I9" s="65"/>
      <x:c r="J9" s="65" t="str">
        <x:v>Not reviewed</x:v>
      </x:c>
      <x:c r="K9" s="65"/>
    </x:row>
    <x:row r="10" ht="22" customHeight="1">
      <x:c r="A10" s="62" t="n">
        <x:f>'Forecast Data'!A8</x:f>
        <x:v>46027</x:v>
      </x:c>
      <x:c r="B10" s="30" t="n">
        <x:f>'Forecast Data'!B8</x:f>
        <x:v>1004.06</x:v>
      </x:c>
      <x:c r="C10" s="31" t="n">
        <x:f>'Forecast Data'!H8</x:f>
        <x:v>-0.019472656250000053</x:v>
      </x:c>
      <x:c r="D10" s="31" t="n">
        <x:f>'Forecast Data'!I8</x:f>
        <x:v>0.4272595744680851</x:v>
      </x:c>
      <x:c r="E10" s="32" t="n">
        <x:f>'Forecast Data'!K8</x:f>
        <x:v>106334.46</x:v>
      </x:c>
      <x:c r="F10" s="31" t="n">
        <x:f>'Forecast Data'!P8</x:f>
        <x:v>0.04855949174263232</x:v>
      </x:c>
      <x:c r="G10" s="27" t="str">
        <x:f>'Forecast Data'!Q8</x:f>
        <x:v>No change</x:v>
      </x:c>
      <x:c r="H10" s="63" t="str">
        <x:f>'Forecast Data'!R8</x:f>
        <x:v>Keep the current plan.</x:v>
      </x:c>
      <x:c r="I10" s="65"/>
      <x:c r="J10" s="65" t="str">
        <x:v>Not reviewed</x:v>
      </x:c>
      <x:c r="K10" s="65"/>
    </x:row>
    <x:row r="11" ht="22" customHeight="1">
      <x:c r="A11" s="62" t="n">
        <x:f>'Forecast Data'!A9</x:f>
        <x:v>46028</x:v>
      </x:c>
      <x:c r="B11" s="30" t="n">
        <x:f>'Forecast Data'!B9</x:f>
        <x:v>949.74</x:v>
      </x:c>
      <x:c r="C11" s="31" t="n">
        <x:f>'Forecast Data'!H9</x:f>
        <x:v>-0.040666666666666657</x:v>
      </x:c>
      <x:c r="D11" s="31" t="n">
        <x:f>'Forecast Data'!I9</x:f>
        <x:v>0.4041446808510638</x:v>
      </x:c>
      <x:c r="E11" s="32" t="n">
        <x:f>'Forecast Data'!K9</x:f>
        <x:v>99678.81</x:v>
      </x:c>
      <x:c r="F11" s="31" t="n">
        <x:f>'Forecast Data'!P9</x:f>
        <x:v>0.03142329421990436</x:v>
      </x:c>
      <x:c r="G11" s="27" t="str">
        <x:f>'Forecast Data'!Q9</x:f>
        <x:v>No change</x:v>
      </x:c>
      <x:c r="H11" s="63" t="str">
        <x:f>'Forecast Data'!R9</x:f>
        <x:v>Keep the current plan.</x:v>
      </x:c>
      <x:c r="I11" s="65"/>
      <x:c r="J11" s="65" t="str">
        <x:v>Not reviewed</x:v>
      </x:c>
      <x:c r="K11" s="65"/>
    </x:row>
    <x:row r="12" ht="22" customHeight="1">
      <x:c r="A12" s="62" t="n">
        <x:f>'Forecast Data'!A10</x:f>
        <x:v>46029</x:v>
      </x:c>
      <x:c r="B12" s="30" t="n">
        <x:f>'Forecast Data'!B10</x:f>
        <x:v>958.93</x:v>
      </x:c>
      <x:c r="C12" s="31" t="n">
        <x:f>'Forecast Data'!H10</x:f>
        <x:v>-0.02646700507614218</x:v>
      </x:c>
      <x:c r="D12" s="31" t="n">
        <x:f>'Forecast Data'!I10</x:f>
        <x:v>0.40805531914893617</x:v>
      </x:c>
      <x:c r="E12" s="32" t="n">
        <x:f>'Forecast Data'!K10</x:f>
        <x:v>103413.1</x:v>
      </x:c>
      <x:c r="F12" s="31" t="n">
        <x:f>'Forecast Data'!P10</x:f>
        <x:v>0.04661343513412716</x:v>
      </x:c>
      <x:c r="G12" s="27" t="str">
        <x:f>'Forecast Data'!Q10</x:f>
        <x:v>No change</x:v>
      </x:c>
      <x:c r="H12" s="63" t="str">
        <x:f>'Forecast Data'!R10</x:f>
        <x:v>Keep the current plan.</x:v>
      </x:c>
      <x:c r="I12" s="65"/>
      <x:c r="J12" s="65" t="str">
        <x:v>Not reviewed</x:v>
      </x:c>
      <x:c r="K12" s="65"/>
    </x:row>
    <x:row r="13" ht="22" customHeight="1">
      <x:c r="A13" s="62" t="n">
        <x:f>'Forecast Data'!A11</x:f>
        <x:v>46030</x:v>
      </x:c>
      <x:c r="B13" s="30" t="n">
        <x:f>'Forecast Data'!B11</x:f>
        <x:v>1102.72</x:v>
      </x:c>
      <x:c r="C13" s="31" t="n">
        <x:f>'Forecast Data'!H11</x:f>
        <x:v>-0.015428571428571404</x:v>
      </x:c>
      <x:c r="D13" s="31" t="n">
        <x:f>'Forecast Data'!I11</x:f>
        <x:v>0.4692425531914894</x:v>
      </x:c>
      <x:c r="E13" s="32" t="n">
        <x:f>'Forecast Data'!K11</x:f>
        <x:v>115195.49</x:v>
      </x:c>
      <x:c r="F13" s="31" t="n">
        <x:f>'Forecast Data'!P11</x:f>
        <x:v>0.05657637690728904</x:v>
      </x:c>
      <x:c r="G13" s="27" t="str">
        <x:f>'Forecast Data'!Q11</x:f>
        <x:v>No change</x:v>
      </x:c>
      <x:c r="H13" s="63" t="str">
        <x:f>'Forecast Data'!R11</x:f>
        <x:v>Keep the current plan.</x:v>
      </x:c>
      <x:c r="I13" s="65"/>
      <x:c r="J13" s="65" t="str">
        <x:v>Not reviewed</x:v>
      </x:c>
      <x:c r="K13" s="65"/>
    </x:row>
    <x:row r="14" ht="22" customHeight="1">
      <x:c r="A14" s="62" t="n">
        <x:f>'Forecast Data'!A12</x:f>
        <x:v>46031</x:v>
      </x:c>
      <x:c r="B14" s="30" t="n">
        <x:f>'Forecast Data'!B12</x:f>
        <x:v>1323.02</x:v>
      </x:c>
      <x:c r="C14" s="31" t="n">
        <x:f>'Forecast Data'!H12</x:f>
        <x:v>-0.007486871717929496</x:v>
      </x:c>
      <x:c r="D14" s="31" t="n">
        <x:f>'Forecast Data'!I12</x:f>
        <x:v>0.5629872340425531</x:v>
      </x:c>
      <x:c r="E14" s="32" t="n">
        <x:f>'Forecast Data'!K12</x:f>
        <x:v>138109.1</x:v>
      </x:c>
      <x:c r="F14" s="31" t="n">
        <x:f>'Forecast Data'!P12</x:f>
        <x:v>0.06289556773277073</x:v>
      </x:c>
      <x:c r="G14" s="27" t="str">
        <x:f>'Forecast Data'!Q12</x:f>
        <x:v>No change</x:v>
      </x:c>
      <x:c r="H14" s="63" t="str">
        <x:f>'Forecast Data'!R12</x:f>
        <x:v>Keep the current plan.</x:v>
      </x:c>
      <x:c r="I14" s="65"/>
      <x:c r="J14" s="65" t="str">
        <x:v>Not reviewed</x:v>
      </x:c>
      <x:c r="K14" s="65"/>
    </x:row>
    <x:row r="15" ht="22" customHeight="1">
      <x:c r="A15" s="62" t="n">
        <x:f>'Forecast Data'!A13</x:f>
        <x:v>46032</x:v>
      </x:c>
      <x:c r="B15" s="30" t="n">
        <x:f>'Forecast Data'!B13</x:f>
        <x:v>1773.2</x:v>
      </x:c>
      <x:c r="C15" s="31" t="n">
        <x:f>'Forecast Data'!H13</x:f>
        <x:v>0.02084052964881983</x:v>
      </x:c>
      <x:c r="D15" s="31" t="n">
        <x:f>'Forecast Data'!I13</x:f>
        <x:v>0.70928</x:v>
      </x:c>
      <x:c r="E15" s="32" t="n">
        <x:f>'Forecast Data'!K13</x:f>
        <x:v>206348.69</x:v>
      </x:c>
      <x:c r="F15" s="31" t="n">
        <x:f>'Forecast Data'!P13</x:f>
        <x:v>0.09317340001653936</x:v>
      </x:c>
      <x:c r="G15" s="27" t="str">
        <x:f>'Forecast Data'!Q13</x:f>
        <x:v>Review</x:v>
      </x:c>
      <x:c r="H15" s="63" t="str">
        <x:f>'Forecast Data'!R13</x:f>
        <x:v>Protect price: revenue is 9.3% above plan.</x:v>
      </x:c>
      <x:c r="I15" s="65"/>
      <x:c r="J15" s="65" t="str">
        <x:v>Not reviewed</x:v>
      </x:c>
      <x:c r="K15" s="65"/>
    </x:row>
    <x:row r="16" ht="22" customHeight="1">
      <x:c r="A16" s="62" t="n">
        <x:f>'Forecast Data'!A14</x:f>
        <x:v>46033</x:v>
      </x:c>
      <x:c r="B16" s="30" t="n">
        <x:f>'Forecast Data'!B14</x:f>
        <x:v>1555.78</x:v>
      </x:c>
      <x:c r="C16" s="31" t="n">
        <x:f>'Forecast Data'!H14</x:f>
        <x:v>0.015522193211488233</x:v>
      </x:c>
      <x:c r="D16" s="31" t="n">
        <x:f>'Forecast Data'!I14</x:f>
        <x:v>0.622312</x:v>
      </x:c>
      <x:c r="E16" s="32" t="n">
        <x:f>'Forecast Data'!K14</x:f>
        <x:v>178326.75</x:v>
      </x:c>
      <x:c r="F16" s="31" t="n">
        <x:f>'Forecast Data'!P14</x:f>
        <x:v>0.08856580962039165</x:v>
      </x:c>
      <x:c r="G16" s="27" t="str">
        <x:f>'Forecast Data'!Q14</x:f>
        <x:v>No change</x:v>
      </x:c>
      <x:c r="H16" s="63" t="str">
        <x:f>'Forecast Data'!R14</x:f>
        <x:v>Keep the current plan.</x:v>
      </x:c>
      <x:c r="I16" s="65"/>
      <x:c r="J16" s="65" t="str">
        <x:v>Not reviewed</x:v>
      </x:c>
      <x:c r="K16" s="65"/>
    </x:row>
    <x:row r="17" ht="22" customHeight="1">
      <x:c r="A17" s="62" t="n">
        <x:f>'Forecast Data'!A15</x:f>
        <x:v>46034</x:v>
      </x:c>
      <x:c r="B17" s="30" t="n">
        <x:f>'Forecast Data'!B15</x:f>
        <x:v>988.55</x:v>
      </x:c>
      <x:c r="C17" s="31" t="n">
        <x:f>'Forecast Data'!H15</x:f>
        <x:v>-0.020267591674925714</x:v>
      </x:c>
      <x:c r="D17" s="31" t="n">
        <x:f>'Forecast Data'!I15</x:f>
        <x:v>0.4206595744680851</x:v>
      </x:c>
      <x:c r="E17" s="32" t="n">
        <x:f>'Forecast Data'!K15</x:f>
        <x:v>106429.19</x:v>
      </x:c>
      <x:c r="F17" s="31" t="n">
        <x:f>'Forecast Data'!P15</x:f>
        <x:v>0.0507490062087763</x:v>
      </x:c>
      <x:c r="G17" s="27" t="str">
        <x:f>'Forecast Data'!Q15</x:f>
        <x:v>No change</x:v>
      </x:c>
      <x:c r="H17" s="63" t="str">
        <x:f>'Forecast Data'!R15</x:f>
        <x:v>Keep the current plan.</x:v>
      </x:c>
      <x:c r="I17" s="65"/>
      <x:c r="J17" s="65" t="str">
        <x:v>Not reviewed</x:v>
      </x:c>
      <x:c r="K17" s="65"/>
    </x:row>
    <x:row r="18" ht="22" customHeight="1">
      <x:c r="A18" s="62" t="n">
        <x:f>'Forecast Data'!A16</x:f>
        <x:v>46035</x:v>
      </x:c>
      <x:c r="B18" s="30" t="n">
        <x:f>'Forecast Data'!B16</x:f>
        <x:v>947.23</x:v>
      </x:c>
      <x:c r="C18" s="31" t="n">
        <x:f>'Forecast Data'!H16</x:f>
        <x:v>-0.029477459016393422</x:v>
      </x:c>
      <x:c r="D18" s="31" t="n">
        <x:f>'Forecast Data'!I16</x:f>
        <x:v>0.40307659574468085</x:v>
      </x:c>
      <x:c r="E18" s="32" t="n">
        <x:f>'Forecast Data'!K16</x:f>
        <x:v>100619.78</x:v>
      </x:c>
      <x:c r="F18" s="31" t="n">
        <x:f>'Forecast Data'!P16</x:f>
        <x:v>0.042991516009415816</x:v>
      </x:c>
      <x:c r="G18" s="27" t="str">
        <x:f>'Forecast Data'!Q16</x:f>
        <x:v>No change</x:v>
      </x:c>
      <x:c r="H18" s="63" t="str">
        <x:f>'Forecast Data'!R16</x:f>
        <x:v>Keep the current plan.</x:v>
      </x:c>
      <x:c r="I18" s="65"/>
      <x:c r="J18" s="65" t="str">
        <x:v>Not reviewed</x:v>
      </x:c>
      <x:c r="K18" s="65"/>
    </x:row>
    <x:row r="19" ht="22" customHeight="1">
      <x:c r="A19" s="62" t="n">
        <x:f>'Forecast Data'!A17</x:f>
        <x:v>46036</x:v>
      </x:c>
      <x:c r="B19" s="30" t="n">
        <x:f>'Forecast Data'!B17</x:f>
        <x:v>996.8</x:v>
      </x:c>
      <x:c r="C19" s="31" t="n">
        <x:f>'Forecast Data'!H17</x:f>
        <x:v>-0.02178606476938179</x:v>
      </x:c>
      <x:c r="D19" s="31" t="n">
        <x:f>'Forecast Data'!I17</x:f>
        <x:v>0.42417021276595746</x:v>
      </x:c>
      <x:c r="E19" s="32" t="n">
        <x:f>'Forecast Data'!K17</x:f>
        <x:v>104164.57</x:v>
      </x:c>
      <x:c r="F19" s="31" t="n">
        <x:f>'Forecast Data'!P17</x:f>
        <x:v>0.05100203541991877</x:v>
      </x:c>
      <x:c r="G19" s="27" t="str">
        <x:f>'Forecast Data'!Q17</x:f>
        <x:v>No change</x:v>
      </x:c>
      <x:c r="H19" s="63" t="str">
        <x:f>'Forecast Data'!R17</x:f>
        <x:v>Keep the current plan.</x:v>
      </x:c>
      <x:c r="I19" s="65"/>
      <x:c r="J19" s="65" t="str">
        <x:v>Not reviewed</x:v>
      </x:c>
      <x:c r="K19" s="65"/>
    </x:row>
    <x:row r="20" ht="22" customHeight="1">
      <x:c r="A20" s="62" t="n">
        <x:f>'Forecast Data'!A18</x:f>
        <x:v>46037</x:v>
      </x:c>
      <x:c r="B20" s="30" t="n">
        <x:f>'Forecast Data'!B18</x:f>
        <x:v>1059.57</x:v>
      </x:c>
      <x:c r="C20" s="31" t="n">
        <x:f>'Forecast Data'!H18</x:f>
        <x:v>-0.0022881355932203988</x:v>
      </x:c>
      <x:c r="D20" s="31" t="n">
        <x:f>'Forecast Data'!I18</x:f>
        <x:v>0.45088085106382975</x:v>
      </x:c>
      <x:c r="E20" s="32" t="n">
        <x:f>'Forecast Data'!K18</x:f>
        <x:v>116432.98</x:v>
      </x:c>
      <x:c r="F20" s="31" t="n">
        <x:f>'Forecast Data'!P18</x:f>
        <x:v>0.07353869978917028</x:v>
      </x:c>
      <x:c r="G20" s="27" t="str">
        <x:f>'Forecast Data'!Q18</x:f>
        <x:v>No change</x:v>
      </x:c>
      <x:c r="H20" s="63" t="str">
        <x:f>'Forecast Data'!R18</x:f>
        <x:v>Keep the current plan.</x:v>
      </x:c>
      <x:c r="I20" s="65"/>
      <x:c r="J20" s="65" t="str">
        <x:v>Not reviewed</x:v>
      </x:c>
      <x:c r="K20" s="65"/>
    </x:row>
    <x:row r="21" ht="22" customHeight="1">
      <x:c r="A21" s="62" t="n">
        <x:f>'Forecast Data'!A19</x:f>
        <x:v>46038</x:v>
      </x:c>
      <x:c r="B21" s="30" t="n">
        <x:f>'Forecast Data'!B19</x:f>
        <x:v>1264.78</x:v>
      </x:c>
      <x:c r="C21" s="31" t="n">
        <x:f>'Forecast Data'!H19</x:f>
        <x:v>0.019983870967741915</x:v>
      </x:c>
      <x:c r="D21" s="31" t="n">
        <x:f>'Forecast Data'!I19</x:f>
        <x:v>0.538204255319149</x:v>
      </x:c>
      <x:c r="E21" s="32" t="n">
        <x:f>'Forecast Data'!K19</x:f>
        <x:v>141717.43</x:v>
      </x:c>
      <x:c r="F21" s="31" t="n">
        <x:f>'Forecast Data'!P19</x:f>
        <x:v>0.09830844876618243</x:v>
      </x:c>
      <x:c r="G21" s="27" t="str">
        <x:f>'Forecast Data'!Q19</x:f>
        <x:v>No change</x:v>
      </x:c>
      <x:c r="H21" s="63" t="str">
        <x:f>'Forecast Data'!R19</x:f>
        <x:v>Keep the current plan.</x:v>
      </x:c>
      <x:c r="I21" s="65"/>
      <x:c r="J21" s="65" t="str">
        <x:v>Not reviewed</x:v>
      </x:c>
      <x:c r="K21" s="65"/>
    </x:row>
    <x:row r="22" ht="22" customHeight="1">
      <x:c r="A22" s="62" t="n">
        <x:f>'Forecast Data'!A20</x:f>
        <x:v>46039</x:v>
      </x:c>
      <x:c r="B22" s="30" t="n">
        <x:f>'Forecast Data'!B20</x:f>
        <x:v>1790.5</x:v>
      </x:c>
      <x:c r="C22" s="31" t="n">
        <x:f>'Forecast Data'!H20</x:f>
        <x:v>0.01101072840203275</x:v>
      </x:c>
      <x:c r="D22" s="31" t="n">
        <x:f>'Forecast Data'!I20</x:f>
        <x:v>0.7162</x:v>
      </x:c>
      <x:c r="E22" s="32" t="n">
        <x:f>'Forecast Data'!K20</x:f>
        <x:v>205064.23</x:v>
      </x:c>
      <x:c r="F22" s="31" t="n">
        <x:f>'Forecast Data'!P20</x:f>
        <x:v>0.08415676564420059</x:v>
      </x:c>
      <x:c r="G22" s="27" t="str">
        <x:f>'Forecast Data'!Q20</x:f>
        <x:v>No change</x:v>
      </x:c>
      <x:c r="H22" s="63" t="str">
        <x:f>'Forecast Data'!R20</x:f>
        <x:v>Keep the current plan.</x:v>
      </x:c>
      <x:c r="I22" s="65"/>
      <x:c r="J22" s="65" t="str">
        <x:v>Not reviewed</x:v>
      </x:c>
      <x:c r="K22" s="65"/>
    </x:row>
    <x:row r="23" ht="22" customHeight="1">
      <x:c r="A23" s="62" t="n">
        <x:f>'Forecast Data'!A21</x:f>
        <x:v>46040</x:v>
      </x:c>
      <x:c r="B23" s="30" t="n">
        <x:f>'Forecast Data'!B21</x:f>
        <x:v>1564.07</x:v>
      </x:c>
      <x:c r="C23" s="31" t="n">
        <x:f>'Forecast Data'!H21</x:f>
        <x:v>0.010381136950904351</x:v>
      </x:c>
      <x:c r="D23" s="31" t="n">
        <x:f>'Forecast Data'!I21</x:f>
        <x:v>0.625628</x:v>
      </x:c>
      <x:c r="E23" s="32" t="n">
        <x:f>'Forecast Data'!K21</x:f>
        <x:v>177475.08</x:v>
      </x:c>
      <x:c r="F23" s="31" t="n">
        <x:f>'Forecast Data'!P21</x:f>
        <x:v>0.08227902521936148</x:v>
      </x:c>
      <x:c r="G23" s="27" t="str">
        <x:f>'Forecast Data'!Q21</x:f>
        <x:v>No change</x:v>
      </x:c>
      <x:c r="H23" s="63" t="str">
        <x:f>'Forecast Data'!R21</x:f>
        <x:v>Keep the current plan.</x:v>
      </x:c>
      <x:c r="I23" s="65"/>
      <x:c r="J23" s="65" t="str">
        <x:v>Not reviewed</x:v>
      </x:c>
      <x:c r="K23" s="65"/>
    </x:row>
    <x:row r="24" ht="22" customHeight="1">
      <x:c r="A24" s="62" t="n">
        <x:f>'Forecast Data'!A22</x:f>
        <x:v>46041</x:v>
      </x:c>
      <x:c r="B24" s="30" t="n">
        <x:f>'Forecast Data'!B22</x:f>
        <x:v>1074.92</x:v>
      </x:c>
      <x:c r="C24" s="31" t="n">
        <x:f>'Forecast Data'!H22</x:f>
        <x:v>-0.09136094674556207</x:v>
      </x:c>
      <x:c r="D24" s="31" t="n">
        <x:f>'Forecast Data'!I22</x:f>
        <x:v>0.429968</x:v>
      </x:c>
      <x:c r="E24" s="32" t="n">
        <x:f>'Forecast Data'!K22</x:f>
        <x:v>138177.36</x:v>
      </x:c>
      <x:c r="F24" s="31" t="n">
        <x:f>'Forecast Data'!P22</x:f>
        <x:v>-0.02985979809071527</x:v>
      </x:c>
      <x:c r="G24" s="27" t="str">
        <x:f>'Forecast Data'!Q22</x:f>
        <x:v>Review</x:v>
      </x:c>
      <x:c r="H24" s="63" t="str">
        <x:f>'Forecast Data'!R22</x:f>
        <x:v>Monitor revenue: forecast is 3.0% below plan, but the target remains within the forecast range.</x:v>
      </x:c>
      <x:c r="I24" s="65"/>
      <x:c r="J24" s="65" t="str">
        <x:v>Not reviewed</x:v>
      </x:c>
      <x:c r="K24" s="65"/>
    </x:row>
    <x:row r="25" ht="22" customHeight="1">
      <x:c r="A25" s="62" t="n">
        <x:f>'Forecast Data'!A23</x:f>
        <x:v>46042</x:v>
      </x:c>
      <x:c r="B25" s="30" t="n">
        <x:f>'Forecast Data'!B23</x:f>
        <x:v>959.2</x:v>
      </x:c>
      <x:c r="C25" s="31" t="n">
        <x:f>'Forecast Data'!H23</x:f>
        <x:v>-0.030131445904954455</x:v>
      </x:c>
      <x:c r="D25" s="31" t="n">
        <x:f>'Forecast Data'!I23</x:f>
        <x:v>0.40817021276595744</x:v>
      </x:c>
      <x:c r="E25" s="32" t="n">
        <x:f>'Forecast Data'!K23</x:f>
        <x:v>100695.61</x:v>
      </x:c>
      <x:c r="F25" s="31" t="n">
        <x:f>'Forecast Data'!P23</x:f>
        <x:v>0.042774248380186175</x:v>
      </x:c>
      <x:c r="G25" s="27" t="str">
        <x:f>'Forecast Data'!Q23</x:f>
        <x:v>No change</x:v>
      </x:c>
      <x:c r="H25" s="63" t="str">
        <x:f>'Forecast Data'!R23</x:f>
        <x:v>Keep the current plan.</x:v>
      </x:c>
      <x:c r="I25" s="65"/>
      <x:c r="J25" s="65" t="str">
        <x:v>Not reviewed</x:v>
      </x:c>
      <x:c r="K25" s="65"/>
    </x:row>
    <x:row r="26" ht="22" customHeight="1">
      <x:c r="A26" s="62" t="n">
        <x:f>'Forecast Data'!A24</x:f>
        <x:v>46043</x:v>
      </x:c>
      <x:c r="B26" s="30" t="n">
        <x:f>'Forecast Data'!B24</x:f>
        <x:v>964.35</x:v>
      </x:c>
      <x:c r="C26" s="31" t="n">
        <x:f>'Forecast Data'!H24</x:f>
        <x:v>-0.011936475409836042</x:v>
      </x:c>
      <x:c r="D26" s="31" t="n">
        <x:f>'Forecast Data'!I24</x:f>
        <x:v>0.4103617021276596</x:v>
      </x:c>
      <x:c r="E26" s="32" t="n">
        <x:f>'Forecast Data'!K24</x:f>
        <x:v>104755.54</x:v>
      </x:c>
      <x:c r="F26" s="31" t="n">
        <x:f>'Forecast Data'!P24</x:f>
        <x:v>0.0609960985767705</x:v>
      </x:c>
      <x:c r="G26" s="27" t="str">
        <x:f>'Forecast Data'!Q24</x:f>
        <x:v>No change</x:v>
      </x:c>
      <x:c r="H26" s="63" t="str">
        <x:f>'Forecast Data'!R24</x:f>
        <x:v>Keep the current plan.</x:v>
      </x:c>
      <x:c r="I26" s="65"/>
      <x:c r="J26" s="65" t="str">
        <x:v>Not reviewed</x:v>
      </x:c>
      <x:c r="K26" s="65"/>
    </x:row>
    <x:row r="27" ht="22" customHeight="1">
      <x:c r="A27" s="62" t="n">
        <x:f>'Forecast Data'!A25</x:f>
        <x:v>46044</x:v>
      </x:c>
      <x:c r="B27" s="30" t="n">
        <x:f>'Forecast Data'!B25</x:f>
        <x:v>1076.91</x:v>
      </x:c>
      <x:c r="C27" s="31" t="n">
        <x:f>'Forecast Data'!H25</x:f>
        <x:v>-0.007456221198156606</x:v>
      </x:c>
      <x:c r="D27" s="31" t="n">
        <x:f>'Forecast Data'!I25</x:f>
        <x:v>0.45825957446808513</x:v>
      </x:c>
      <x:c r="E27" s="32" t="n">
        <x:f>'Forecast Data'!K25</x:f>
        <x:v>115912.87</x:v>
      </x:c>
      <x:c r="F27" s="31" t="n">
        <x:f>'Forecast Data'!P25</x:f>
        <x:v>0.06600074308280038</x:v>
      </x:c>
      <x:c r="G27" s="27" t="str">
        <x:f>'Forecast Data'!Q25</x:f>
        <x:v>No change</x:v>
      </x:c>
      <x:c r="H27" s="63" t="str">
        <x:f>'Forecast Data'!R25</x:f>
        <x:v>Keep the current plan.</x:v>
      </x:c>
      <x:c r="I27" s="65"/>
      <x:c r="J27" s="65" t="str">
        <x:v>Not reviewed</x:v>
      </x:c>
      <x:c r="K27" s="65"/>
    </x:row>
    <x:row r="28" ht="22" customHeight="1">
      <x:c r="A28" s="62" t="n">
        <x:f>'Forecast Data'!A26</x:f>
        <x:v>46045</x:v>
      </x:c>
      <x:c r="B28" s="30" t="n">
        <x:f>'Forecast Data'!B26</x:f>
        <x:v>1288.77</x:v>
      </x:c>
      <x:c r="C28" s="31" t="n">
        <x:f>'Forecast Data'!H26</x:f>
        <x:v>0.009216914643696148</x:v>
      </x:c>
      <x:c r="D28" s="31" t="n">
        <x:f>'Forecast Data'!I26</x:f>
        <x:v>0.5484127659574468</x:v>
      </x:c>
      <x:c r="E28" s="32" t="n">
        <x:f>'Forecast Data'!K26</x:f>
        <x:v>139935.05</x:v>
      </x:c>
      <x:c r="F28" s="31" t="n">
        <x:f>'Forecast Data'!P26</x:f>
        <x:v>0.08094680818193045</x:v>
      </x:c>
      <x:c r="G28" s="27" t="str">
        <x:f>'Forecast Data'!Q26</x:f>
        <x:v>No change</x:v>
      </x:c>
      <x:c r="H28" s="63" t="str">
        <x:f>'Forecast Data'!R26</x:f>
        <x:v>Keep the current plan.</x:v>
      </x:c>
      <x:c r="I28" s="65"/>
      <x:c r="J28" s="65" t="str">
        <x:v>Not reviewed</x:v>
      </x:c>
      <x:c r="K28" s="65"/>
    </x:row>
    <x:row r="29" ht="22" customHeight="1">
      <x:c r="A29" s="62" t="n">
        <x:f>'Forecast Data'!A27</x:f>
        <x:v>46046</x:v>
      </x:c>
      <x:c r="B29" s="30" t="n">
        <x:f>'Forecast Data'!B27</x:f>
        <x:v>1796.35</x:v>
      </x:c>
      <x:c r="C29" s="31" t="n">
        <x:f>'Forecast Data'!H27</x:f>
        <x:v>0.008618753509264407</x:v>
      </x:c>
      <x:c r="D29" s="31" t="n">
        <x:f>'Forecast Data'!I27</x:f>
        <x:v>0.71854</x:v>
      </x:c>
      <x:c r="E29" s="32" t="n">
        <x:f>'Forecast Data'!K27</x:f>
        <x:v>204695.9</x:v>
      </x:c>
      <x:c r="F29" s="31" t="n">
        <x:f>'Forecast Data'!P27</x:f>
        <x:v>0.08200876227928786</x:v>
      </x:c>
      <x:c r="G29" s="27" t="str">
        <x:f>'Forecast Data'!Q27</x:f>
        <x:v>No change</x:v>
      </x:c>
      <x:c r="H29" s="63" t="str">
        <x:f>'Forecast Data'!R27</x:f>
        <x:v>Keep the current plan.</x:v>
      </x:c>
      <x:c r="I29" s="65"/>
      <x:c r="J29" s="65" t="str">
        <x:v>Not reviewed</x:v>
      </x:c>
      <x:c r="K29" s="65"/>
    </x:row>
    <x:row r="30" ht="22" customHeight="1">
      <x:c r="A30" s="62" t="n">
        <x:f>'Forecast Data'!A28</x:f>
        <x:v>46047</x:v>
      </x:c>
      <x:c r="B30" s="30" t="n">
        <x:f>'Forecast Data'!B28</x:f>
        <x:v>1551.97</x:v>
      </x:c>
      <x:c r="C30" s="31" t="n">
        <x:f>'Forecast Data'!H28</x:f>
        <x:v>0.017685245901639363</x:v>
      </x:c>
      <x:c r="D30" s="31" t="n">
        <x:f>'Forecast Data'!I28</x:f>
        <x:v>0.620788</x:v>
      </x:c>
      <x:c r="E30" s="32" t="n">
        <x:f>'Forecast Data'!K28</x:f>
        <x:v>178623.97</x:v>
      </x:c>
      <x:c r="F30" s="31" t="n">
        <x:f>'Forecast Data'!P28</x:f>
        <x:v>0.09023838409534904</x:v>
      </x:c>
      <x:c r="G30" s="27" t="str">
        <x:f>'Forecast Data'!Q28</x:f>
        <x:v>No change</x:v>
      </x:c>
      <x:c r="H30" s="63" t="str">
        <x:f>'Forecast Data'!R28</x:f>
        <x:v>Keep the current plan.</x:v>
      </x:c>
      <x:c r="I30" s="65"/>
      <x:c r="J30" s="65" t="str">
        <x:v>Not reviewed</x:v>
      </x:c>
      <x:c r="K30" s="65"/>
    </x:row>
    <x:row r="31" ht="22" customHeight="1">
      <x:c r="A31" s="62" t="n">
        <x:f>'Forecast Data'!A29</x:f>
        <x:v>46048</x:v>
      </x:c>
      <x:c r="B31" s="30" t="n">
        <x:f>'Forecast Data'!B29</x:f>
        <x:v>1010.37</x:v>
      </x:c>
      <x:c r="C31" s="31" t="n">
        <x:f>'Forecast Data'!H29</x:f>
        <x:v>-0.024739382239382234</x:v>
      </x:c>
      <x:c r="D31" s="31" t="n">
        <x:f>'Forecast Data'!I29</x:f>
        <x:v>0.42994468085106385</x:v>
      </x:c>
      <x:c r="E31" s="32" t="n">
        <x:f>'Forecast Data'!K29</x:f>
        <x:v>105965.74</x:v>
      </x:c>
      <x:c r="F31" s="31" t="n">
        <x:f>'Forecast Data'!P29</x:f>
        <x:v>0.04353396540728515</x:v>
      </x:c>
      <x:c r="G31" s="27" t="str">
        <x:f>'Forecast Data'!Q29</x:f>
        <x:v>No change</x:v>
      </x:c>
      <x:c r="H31" s="63" t="str">
        <x:f>'Forecast Data'!R29</x:f>
        <x:v>Keep the current plan.</x:v>
      </x:c>
      <x:c r="I31" s="65"/>
      <x:c r="J31" s="65" t="str">
        <x:v>Not reviewed</x:v>
      </x:c>
      <x:c r="K31" s="65"/>
    </x:row>
    <x:row r="32" ht="22" customHeight="1">
      <x:c r="A32" s="62" t="n">
        <x:f>'Forecast Data'!A30</x:f>
        <x:v>46049</x:v>
      </x:c>
      <x:c r="B32" s="30" t="n">
        <x:f>'Forecast Data'!B30</x:f>
        <x:v>914.01</x:v>
      </x:c>
      <x:c r="C32" s="31" t="n">
        <x:f>'Forecast Data'!H30</x:f>
        <x:v>-0.02140256959314776</x:v>
      </x:c>
      <x:c r="D32" s="31" t="n">
        <x:f>'Forecast Data'!I30</x:f>
        <x:v>0.3889404255319149</x:v>
      </x:c>
      <x:c r="E32" s="32" t="n">
        <x:f>'Forecast Data'!K30</x:f>
        <x:v>101608.23</x:v>
      </x:c>
      <x:c r="F32" s="31" t="n">
        <x:f>'Forecast Data'!P30</x:f>
        <x:v>0.05721207871013915</x:v>
      </x:c>
      <x:c r="G32" s="27" t="str">
        <x:f>'Forecast Data'!Q30</x:f>
        <x:v>No change</x:v>
      </x:c>
      <x:c r="H32" s="63" t="str">
        <x:f>'Forecast Data'!R30</x:f>
        <x:v>Keep the current plan.</x:v>
      </x:c>
      <x:c r="I32" s="65"/>
      <x:c r="J32" s="65" t="str">
        <x:v>Not reviewed</x:v>
      </x:c>
      <x:c r="K32" s="65"/>
    </x:row>
    <x:row r="33" ht="22" customHeight="1">
      <x:c r="A33" s="62" t="n">
        <x:f>'Forecast Data'!A31</x:f>
        <x:v>46050</x:v>
      </x:c>
      <x:c r="B33" s="30" t="n">
        <x:f>'Forecast Data'!B31</x:f>
        <x:v>995.97</x:v>
      </x:c>
      <x:c r="C33" s="31" t="n">
        <x:f>'Forecast Data'!H31</x:f>
        <x:v>-0.017781065088757368</x:v>
      </x:c>
      <x:c r="D33" s="31" t="n">
        <x:f>'Forecast Data'!I31</x:f>
        <x:v>0.42381702127659576</x:v>
      </x:c>
      <x:c r="E33" s="32" t="n">
        <x:f>'Forecast Data'!K31</x:f>
        <x:v>104510.85</x:v>
      </x:c>
      <x:c r="F33" s="31" t="n">
        <x:f>'Forecast Data'!P31</x:f>
        <x:v>0.05537359123514867</x:v>
      </x:c>
      <x:c r="G33" s="27" t="str">
        <x:f>'Forecast Data'!Q31</x:f>
        <x:v>No change</x:v>
      </x:c>
      <x:c r="H33" s="63" t="str">
        <x:f>'Forecast Data'!R31</x:f>
        <x:v>Keep the current plan.</x:v>
      </x:c>
      <x:c r="I33" s="65"/>
      <x:c r="J33" s="65" t="str">
        <x:v>Not reviewed</x:v>
      </x:c>
      <x:c r="K33" s="65"/>
    </x:row>
    <x:row r="34" ht="22" customHeight="1">
      <x:c r="A34" s="62" t="n">
        <x:f>'Forecast Data'!A32</x:f>
        <x:v>46051</x:v>
      </x:c>
      <x:c r="B34" s="30" t="n">
        <x:f>'Forecast Data'!B32</x:f>
        <x:v>1075</x:v>
      </x:c>
      <x:c r="C34" s="31" t="n">
        <x:f>'Forecast Data'!H32</x:f>
        <x:v>-0.005550416281221091</x:v>
      </x:c>
      <x:c r="D34" s="31" t="n">
        <x:f>'Forecast Data'!I32</x:f>
        <x:v>0.4574468085106383</x:v>
      </x:c>
      <x:c r="E34" s="32" t="n">
        <x:f>'Forecast Data'!K32</x:f>
        <x:v>115998.24</x:v>
      </x:c>
      <x:c r="F34" s="31" t="n">
        <x:f>'Forecast Data'!P32</x:f>
        <x:v>0.06738405778831365</x:v>
      </x:c>
      <x:c r="G34" s="27" t="str">
        <x:f>'Forecast Data'!Q32</x:f>
        <x:v>No change</x:v>
      </x:c>
      <x:c r="H34" s="63" t="str">
        <x:f>'Forecast Data'!R32</x:f>
        <x:v>Keep the current plan.</x:v>
      </x:c>
      <x:c r="I34" s="65"/>
      <x:c r="J34" s="65" t="str">
        <x:v>Not reviewed</x:v>
      </x:c>
      <x:c r="K34" s="65"/>
    </x:row>
    <x:row r="35" ht="22" customHeight="1">
      <x:c r="A35" s="62" t="n">
        <x:f>'Forecast Data'!A33</x:f>
        <x:v>46052</x:v>
      </x:c>
      <x:c r="B35" s="30" t="n">
        <x:f>'Forecast Data'!B33</x:f>
        <x:v>1305.97</x:v>
      </x:c>
      <x:c r="C35" s="31" t="n">
        <x:f>'Forecast Data'!H33</x:f>
        <x:v>0.002279355333844994</x:v>
      </x:c>
      <x:c r="D35" s="31" t="n">
        <x:f>'Forecast Data'!I33</x:f>
        <x:v>0.5557319148936171</x:v>
      </x:c>
      <x:c r="E35" s="32" t="n">
        <x:f>'Forecast Data'!K33</x:f>
        <x:v>139199.76</x:v>
      </x:c>
      <x:c r="F35" s="31" t="n">
        <x:f>'Forecast Data'!P33</x:f>
        <x:v>0.0737281486881558</x:v>
      </x:c>
      <x:c r="G35" s="27" t="str">
        <x:f>'Forecast Data'!Q33</x:f>
        <x:v>No change</x:v>
      </x:c>
      <x:c r="H35" s="63" t="str">
        <x:f>'Forecast Data'!R33</x:f>
        <x:v>Keep the current plan.</x:v>
      </x:c>
      <x:c r="I35" s="65"/>
      <x:c r="J35" s="65" t="str">
        <x:v>Not reviewed</x:v>
      </x:c>
      <x:c r="K35" s="65"/>
    </x:row>
  </x:sheetData>
  <x:conditionalFormatting sqref="G6:G35">
    <x:cfRule type="containsText" dxfId="0" priority="1" operator="containsText" text="Review"/>
  </x:conditionalFormatting>
  <x:conditionalFormatting sqref="C6:C35">
    <x:cfRule type="cellIs" dxfId="1" priority="2" operator="lessThanOrEqual">
      <x:formula>-0.05</x:formula>
    </x:cfRule>
    <x:cfRule type="cellIs" dxfId="2" priority="3" operator="greaterThanOrEqual">
      <x:formula>0.05</x:formula>
    </x:cfRule>
  </x:conditionalFormatting>
  <x:conditionalFormatting sqref="D6:D35">
    <x:cfRule type="cellIs" dxfId="3" priority="4" operator="greaterThanOrEqual">
      <x:formula>0.85</x:formula>
    </x:cfRule>
  </x:conditionalFormatting>
  <x:conditionalFormatting sqref="F6:F35">
    <x:cfRule type="cellIs" dxfId="4" priority="5" operator="lessThanOrEqual">
      <x:formula>-0.05</x:formula>
    </x:cfRule>
    <x:cfRule type="cellIs" dxfId="5" priority="6" operator="greaterThanOrEqual">
      <x:formula>0.05</x:formula>
    </x:cfRule>
  </x:conditionalFormatting>
  <x:conditionalFormatting sqref="J6:J35">
    <x:cfRule type="containsText" dxfId="6" priority="7" operator="containsText" text="Approved"/>
    <x:cfRule type="containsText" dxfId="7" priority="8" operator="containsText" text="Monitor"/>
    <x:cfRule type="containsText" dxfId="8" priority="9" operator="containsText" text="Changed"/>
  </x:conditionalFormatting>
  <x:dataValidations count="1">
    <x:dataValidation type="list" sqref="J6:J35">
      <x:formula1>"Not reviewed,Approved,Monitor,Changed"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d9a9d9b85c44ea"/>
  </x:tableParts>
</x:worksheet>
</file>

<file path=xl/worksheets/sheet3.xml><?xml version="1.0" encoding="utf-8"?>
<x:worksheet xmlns:x="http://schemas.openxmlformats.org/spreadsheetml/2006/main">
  <x:sheetPr>
    <x:tabColor rgb="FFC9B458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2" hidden="0" customWidth="1"/>
    <x:col min="18" max="18" width="54" hidden="0" customWidth="1"/>
    <x:col min="19" max="19" width="72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27" max="27" width="22" hidden="0" customWidth="1"/>
    <x:col min="28" max="28" width="44" hidden="0" customWidth="1"/>
  </x:cols>
  <x:sheetData>
    <x:row r="1">
      <x:c r="A1" s="20" t="str">
        <x:v>Source: project planning pipeline, forecast created Dec 31, 2025. Commercial ticket, price, campaign, and revenue fields are synthetic; weather and calendar context comes from documented public sources.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  <x:c r="AA1" s="21"/>
      <x:c r="AB1" s="21"/>
      <x:c r="AC1" s="21"/>
      <x:c r="AD1" s="21"/>
      <x:c r="AE1" s="21"/>
      <x:c r="AF1" s="21"/>
      <x:c r="AG1" s="21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</x:row>
    <x:row r="3" ht="34" customHeight="1">
      <x:c r="A3" s="17" t="str">
        <x:v>Date</x:v>
      </x:c>
      <x:c r="B3" s="18" t="str">
        <x:v>Demand Forecast</x:v>
      </x:c>
      <x:c r="C3" s="18" t="str">
        <x:v>Demand Low</x:v>
      </x:c>
      <x:c r="D3" s="18" t="str">
        <x:v>Demand High</x:v>
      </x:c>
      <x:c r="E3" s="18" t="str">
        <x:v>Available Capacity</x:v>
      </x:c>
      <x:c r="F3" s="18" t="str">
        <x:v>Demand Target</x:v>
      </x:c>
      <x:c r="G3" s="18" t="str">
        <x:v>Demand Gap</x:v>
      </x:c>
      <x:c r="H3" s="18" t="str">
        <x:v>Demand Gap %</x:v>
      </x:c>
      <x:c r="I3" s="18" t="str">
        <x:v>Capacity Used</x:v>
      </x:c>
      <x:c r="J3" s="18" t="str">
        <x:v>Upper Capacity Used</x:v>
      </x:c>
      <x:c r="K3" s="18" t="str">
        <x:v>Net Revenue</x:v>
      </x:c>
      <x:c r="L3" s="18" t="str">
        <x:v>Revenue Low</x:v>
      </x:c>
      <x:c r="M3" s="18" t="str">
        <x:v>Revenue High</x:v>
      </x:c>
      <x:c r="N3" s="18" t="str">
        <x:v>Revenue Target</x:v>
      </x:c>
      <x:c r="O3" s="18" t="str">
        <x:v>Revenue Gap</x:v>
      </x:c>
      <x:c r="P3" s="18" t="str">
        <x:v>Revenue Gap %</x:v>
      </x:c>
      <x:c r="Q3" s="18" t="str">
        <x:v>Decision</x:v>
      </x:c>
      <x:c r="R3" s="18" t="str">
        <x:v>Decision Reason</x:v>
      </x:c>
      <x:c r="S3" s="18" t="str">
        <x:v>System Recommendation</x:v>
      </x:c>
      <x:c r="T3" s="18" t="str">
        <x:v>Review Order</x:v>
      </x:c>
      <x:c r="U3" s="18" t="str">
        <x:v>Holiday</x:v>
      </x:c>
      <x:c r="V3" s="18" t="str">
        <x:v>Weekend</x:v>
      </x:c>
      <x:c r="W3" s="18" t="str">
        <x:v>School Break</x:v>
      </x:c>
      <x:c r="X3" s="18" t="str">
        <x:v>Price Multiplier</x:v>
      </x:c>
      <x:c r="Y3" s="18" t="str">
        <x:v>Campaign Count</x:v>
      </x:c>
      <x:c r="Z3" s="18" t="str">
        <x:v>Forecast Horizon</x:v>
      </x:c>
      <x:c r="AA3" s="18" t="str">
        <x:v>Demand Model</x:v>
      </x:c>
      <x:c r="AB3" s="18" t="str">
        <x:v>Revenue Model</x:v>
      </x:c>
      <x:c r="AC3" s="18" t="str">
        <x:v>Forecast Created</x:v>
      </x:c>
      <x:c r="AD3" s="18" t="str">
        <x:v>Demand Error (MAE)</x:v>
      </x:c>
      <x:c r="AE3" s="18" t="str">
        <x:v>Revenue Error (WAPE)</x:v>
      </x:c>
      <x:c r="AF3" s="18" t="str">
        <x:v>Decision Confidence</x:v>
      </x:c>
      <x:c r="AG3" s="19" t="str">
        <x:v>Short Date</x:v>
      </x:c>
    </x:row>
    <x:row r="4" ht="18" customHeight="1">
      <x:c r="A4" s="29" t="n">
        <x:v>46023</x:v>
      </x:c>
      <x:c r="B4" s="30" t="n">
        <x:v>1591.95</x:v>
      </x:c>
      <x:c r="C4" s="30" t="n">
        <x:v>1390.52</x:v>
      </x:c>
      <x:c r="D4" s="30" t="n">
        <x:v>1793.39</x:v>
      </x:c>
      <x:c r="E4" s="30" t="n">
        <x:v>2500</x:v>
      </x:c>
      <x:c r="F4" s="30" t="n">
        <x:v>1571</x:v>
      </x:c>
      <x:c r="G4" s="30" t="n">
        <x:f>B4-F4</x:f>
        <x:v>20.950000000000045</x:v>
      </x:c>
      <x:c r="H4" s="31" t="n">
        <x:f>IF(F4=0,"n.a.",G4/F4)</x:f>
        <x:v>0.01333545512412479</x:v>
      </x:c>
      <x:c r="I4" s="31" t="n">
        <x:f>IF(E4=0,"n.a.",B4/E4)</x:f>
        <x:v>0.63678</x:v>
      </x:c>
      <x:c r="J4" s="31" t="n">
        <x:f>IF(E4=0,"n.a.",D4/E4)</x:f>
        <x:v>0.717356</x:v>
      </x:c>
      <x:c r="K4" s="32" t="n">
        <x:v>195655.5</x:v>
      </x:c>
      <x:c r="L4" s="32" t="n">
        <x:v>173059.32</x:v>
      </x:c>
      <x:c r="M4" s="32" t="n">
        <x:v>218251.68</x:v>
      </x:c>
      <x:c r="N4" s="32" t="n">
        <x:v>181782.44</x:v>
      </x:c>
      <x:c r="O4" s="32" t="n">
        <x:f>K4-N4</x:f>
        <x:v>13873.059999999998</x:v>
      </x:c>
      <x:c r="P4" s="31" t="n">
        <x:f>IF(N4=0,"n.a.",O4/N4)</x:f>
        <x:v>0.07631683236290589</x:v>
      </x:c>
      <x:c r="Q4" s="27" t="str">
        <x:v>No change</x:v>
      </x:c>
      <x:c r="R4" s="27" t="str">
        <x:v>Keep the current plan.</x:v>
      </x:c>
      <x:c r="S4" s="27" t="str">
        <x:v>Maintain the current plan and refresh the forecast as new booking signals arrive.</x:v>
      </x:c>
      <x:c r="T4" s="27" t="str">
        <x:f>IF(Q4="Review",COUNTIFS($Q$4:Q4,"Review"),"")</x:f>
      </x:c>
      <x:c r="U4" s="28" t="b">
        <x:v>1</x:v>
      </x:c>
      <x:c r="V4" s="28" t="b">
        <x:v>0</x:v>
      </x:c>
      <x:c r="W4" s="28" t="b">
        <x:v>1</x:v>
      </x:c>
      <x:c r="X4" s="33" t="n">
        <x:v>1.0901</x:v>
      </x:c>
      <x:c r="Y4" s="27" t="n">
        <x:v>0</x:v>
      </x:c>
      <x:c r="Z4" s="27" t="n">
        <x:v>1</x:v>
      </x:c>
      <x:c r="AA4" s="27" t="str">
        <x:v>sarimax_exogenous</x:v>
      </x:c>
      <x:c r="AB4" s="27" t="str">
        <x:v>sarimax_demand_hgb_mix_ridge_product_yield</x:v>
      </x:c>
      <x:c r="AC4" s="29" t="n">
        <x:v>46022</x:v>
      </x:c>
      <x:c r="AD4" s="34" t="n">
        <x:v>103.25</x:v>
      </x:c>
      <x:c r="AE4" s="31" t="n">
        <x:v>0.0751</x:v>
      </x:c>
      <x:c r="AF4" s="27" t="str">
        <x:v>monitor_only</x:v>
      </x:c>
      <x:c r="AG4" s="27" t="str">
        <x:v>Jan 1</x:v>
      </x:c>
    </x:row>
    <x:row r="5" ht="18" customHeight="1">
      <x:c r="A5" s="29" t="n">
        <x:v>46024</x:v>
      </x:c>
      <x:c r="B5" s="30" t="n">
        <x:v>1572.14</x:v>
      </x:c>
      <x:c r="C5" s="30" t="n">
        <x:v>1370.7</x:v>
      </x:c>
      <x:c r="D5" s="30" t="n">
        <x:v>1773.57</x:v>
      </x:c>
      <x:c r="E5" s="30" t="n">
        <x:v>2500</x:v>
      </x:c>
      <x:c r="F5" s="30" t="n">
        <x:v>1658</x:v>
      </x:c>
      <x:c r="G5" s="30" t="n">
        <x:f>B5-F5</x:f>
        <x:v>-85.8599999999999</x:v>
      </x:c>
      <x:c r="H5" s="31" t="n">
        <x:f>IF(F5=0,"n.a.",G5/F5)</x:f>
        <x:v>-0.05178528347406508</x:v>
      </x:c>
      <x:c r="I5" s="31" t="n">
        <x:f>IF(E5=0,"n.a.",B5/E5)</x:f>
        <x:v>0.6288560000000001</x:v>
      </x:c>
      <x:c r="J5" s="31" t="n">
        <x:f>IF(E5=0,"n.a.",D5/E5)</x:f>
        <x:v>0.709428</x:v>
      </x:c>
      <x:c r="K5" s="32" t="n">
        <x:v>192144.28</x:v>
      </x:c>
      <x:c r="L5" s="32" t="n">
        <x:v>169548.1</x:v>
      </x:c>
      <x:c r="M5" s="32" t="n">
        <x:v>214740.46</x:v>
      </x:c>
      <x:c r="N5" s="32" t="n">
        <x:v>190474.17</x:v>
      </x:c>
      <x:c r="O5" s="32" t="n">
        <x:f>K5-N5</x:f>
        <x:v>1670.109999999986</x:v>
      </x:c>
      <x:c r="P5" s="31" t="n">
        <x:f>IF(N5=0,"n.a.",O5/N5)</x:f>
        <x:v>0.008768170508368594</x:v>
      </x:c>
      <x:c r="Q5" s="27" t="str">
        <x:v>No change</x:v>
      </x:c>
      <x:c r="R5" s="27" t="str">
        <x:v>Keep the current plan.</x:v>
      </x:c>
      <x:c r="S5" s="27" t="str">
        <x:v>Maintain the current plan and refresh the forecast as new booking signals arrive.</x:v>
      </x:c>
      <x:c r="T5" s="27" t="str">
        <x:f>IF(Q5="Review",COUNTIFS($Q$4:Q5,"Review"),"")</x:f>
      </x:c>
      <x:c r="U5" s="28" t="b">
        <x:v>0</x:v>
      </x:c>
      <x:c r="V5" s="28" t="b">
        <x:v>0</x:v>
      </x:c>
      <x:c r="W5" s="28" t="b">
        <x:v>1</x:v>
      </x:c>
      <x:c r="X5" s="33" t="n">
        <x:v>1.0898</x:v>
      </x:c>
      <x:c r="Y5" s="27" t="n">
        <x:v>0</x:v>
      </x:c>
      <x:c r="Z5" s="27" t="n">
        <x:v>2</x:v>
      </x:c>
      <x:c r="AA5" s="27" t="str">
        <x:v>sarimax_exogenous</x:v>
      </x:c>
      <x:c r="AB5" s="27" t="str">
        <x:v>sarimax_demand_hgb_mix_ridge_product_yield</x:v>
      </x:c>
      <x:c r="AC5" s="29" t="n">
        <x:v>46022</x:v>
      </x:c>
      <x:c r="AD5" s="34" t="n">
        <x:v>103.25</x:v>
      </x:c>
      <x:c r="AE5" s="31" t="n">
        <x:v>0.0751</x:v>
      </x:c>
      <x:c r="AF5" s="27" t="str">
        <x:v>monitor_only</x:v>
      </x:c>
      <x:c r="AG5" s="27" t="str">
        <x:v>Jan 2</x:v>
      </x:c>
    </x:row>
    <x:row r="6" ht="18" customHeight="1">
      <x:c r="A6" s="29" t="n">
        <x:v>46025</x:v>
      </x:c>
      <x:c r="B6" s="30" t="n">
        <x:v>1750</x:v>
      </x:c>
      <x:c r="C6" s="30" t="n">
        <x:v>1548.57</x:v>
      </x:c>
      <x:c r="D6" s="30" t="n">
        <x:v>1951.44</x:v>
      </x:c>
      <x:c r="E6" s="30" t="n">
        <x:v>2500</x:v>
      </x:c>
      <x:c r="F6" s="30" t="n">
        <x:v>1712</x:v>
      </x:c>
      <x:c r="G6" s="30" t="n">
        <x:f>B6-F6</x:f>
        <x:v>38</x:v>
      </x:c>
      <x:c r="H6" s="31" t="n">
        <x:f>IF(F6=0,"n.a.",G6/F6)</x:f>
        <x:v>0.02219626168224299</x:v>
      </x:c>
      <x:c r="I6" s="31" t="n">
        <x:f>IF(E6=0,"n.a.",B6/E6)</x:f>
        <x:v>0.7</x:v>
      </x:c>
      <x:c r="J6" s="31" t="n">
        <x:f>IF(E6=0,"n.a.",D6/E6)</x:f>
        <x:v>0.780576</x:v>
      </x:c>
      <x:c r="K6" s="32" t="n">
        <x:v>207138.6</x:v>
      </x:c>
      <x:c r="L6" s="32" t="n">
        <x:v>184542.42</x:v>
      </x:c>
      <x:c r="M6" s="32" t="n">
        <x:v>229734.78</x:v>
      </x:c>
      <x:c r="N6" s="32" t="n">
        <x:v>188563.48</x:v>
      </x:c>
      <x:c r="O6" s="32" t="n">
        <x:f>K6-N6</x:f>
        <x:v>18575.119999999995</x:v>
      </x:c>
      <x:c r="P6" s="31" t="n">
        <x:f>IF(N6=0,"n.a.",O6/N6)</x:f>
        <x:v>0.09850857652818029</x:v>
      </x:c>
      <x:c r="Q6" s="27" t="str">
        <x:v>No change</x:v>
      </x:c>
      <x:c r="R6" s="27" t="str">
        <x:v>Keep the current plan.</x:v>
      </x:c>
      <x:c r="S6" s="27" t="str">
        <x:v>Maintain the current plan and refresh the forecast as new booking signals arrive.</x:v>
      </x:c>
      <x:c r="T6" s="27" t="str">
        <x:f>IF(Q6="Review",COUNTIFS($Q$4:Q6,"Review"),"")</x:f>
      </x:c>
      <x:c r="U6" s="28" t="b">
        <x:v>0</x:v>
      </x:c>
      <x:c r="V6" s="28" t="b">
        <x:v>1</x:v>
      </x:c>
      <x:c r="W6" s="28" t="b">
        <x:v>0</x:v>
      </x:c>
      <x:c r="X6" s="33" t="n">
        <x:v>1.0255</x:v>
      </x:c>
      <x:c r="Y6" s="27" t="n">
        <x:v>0</x:v>
      </x:c>
      <x:c r="Z6" s="27" t="n">
        <x:v>3</x:v>
      </x:c>
      <x:c r="AA6" s="27" t="str">
        <x:v>sarimax_exogenous</x:v>
      </x:c>
      <x:c r="AB6" s="27" t="str">
        <x:v>sarimax_demand_hgb_mix_ridge_product_yield</x:v>
      </x:c>
      <x:c r="AC6" s="29" t="n">
        <x:v>46022</x:v>
      </x:c>
      <x:c r="AD6" s="34" t="n">
        <x:v>103.25</x:v>
      </x:c>
      <x:c r="AE6" s="31" t="n">
        <x:v>0.0751</x:v>
      </x:c>
      <x:c r="AF6" s="27" t="str">
        <x:v>monitor_only</x:v>
      </x:c>
      <x:c r="AG6" s="27" t="str">
        <x:v>Jan 3</x:v>
      </x:c>
    </x:row>
    <x:row r="7" ht="18" customHeight="1">
      <x:c r="A7" s="29" t="n">
        <x:v>46026</x:v>
      </x:c>
      <x:c r="B7" s="30" t="n">
        <x:v>1515.34</x:v>
      </x:c>
      <x:c r="C7" s="30" t="n">
        <x:v>1313.9</x:v>
      </x:c>
      <x:c r="D7" s="30" t="n">
        <x:v>1716.77</x:v>
      </x:c>
      <x:c r="E7" s="30" t="n">
        <x:v>2500</x:v>
      </x:c>
      <x:c r="F7" s="30" t="n">
        <x:v>1448</x:v>
      </x:c>
      <x:c r="G7" s="30" t="n">
        <x:f>B7-F7</x:f>
        <x:v>67.33999999999992</x:v>
      </x:c>
      <x:c r="H7" s="31" t="n">
        <x:f>IF(F7=0,"n.a.",G7/F7)</x:f>
        <x:v>0.046505524861878395</x:v>
      </x:c>
      <x:c r="I7" s="31" t="n">
        <x:f>IF(E7=0,"n.a.",B7/E7)</x:f>
        <x:v>0.606136</x:v>
      </x:c>
      <x:c r="J7" s="31" t="n">
        <x:f>IF(E7=0,"n.a.",D7/E7)</x:f>
        <x:v>0.686708</x:v>
      </x:c>
      <x:c r="K7" s="32" t="n">
        <x:v>183571.08</x:v>
      </x:c>
      <x:c r="L7" s="32" t="n">
        <x:v>160974.9</x:v>
      </x:c>
      <x:c r="M7" s="32" t="n">
        <x:v>206167.26</x:v>
      </x:c>
      <x:c r="N7" s="32" t="n">
        <x:v>163062.9</x:v>
      </x:c>
      <x:c r="O7" s="32" t="n">
        <x:f>K7-N7</x:f>
        <x:v>20508.179999999993</x:v>
      </x:c>
      <x:c r="P7" s="31" t="n">
        <x:f>IF(N7=0,"n.a.",O7/N7)</x:f>
        <x:v>0.12576852245360529</x:v>
      </x:c>
      <x:c r="Q7" s="27" t="str">
        <x:v>No change</x:v>
      </x:c>
      <x:c r="R7" s="27" t="str">
        <x:v>Keep the current plan.</x:v>
      </x:c>
      <x:c r="S7" s="27" t="str">
        <x:v>Maintain the current plan and refresh the forecast as new booking signals arrive.</x:v>
      </x:c>
      <x:c r="T7" s="27" t="str">
        <x:f>IF(Q7="Review",COUNTIFS($Q$4:Q7,"Review"),"")</x:f>
      </x:c>
      <x:c r="U7" s="28" t="b">
        <x:v>0</x:v>
      </x:c>
      <x:c r="V7" s="28" t="b">
        <x:v>1</x:v>
      </x:c>
      <x:c r="W7" s="28" t="b">
        <x:v>0</x:v>
      </x:c>
      <x:c r="X7" s="33" t="n">
        <x:v>1.0485</x:v>
      </x:c>
      <x:c r="Y7" s="27" t="n">
        <x:v>0</x:v>
      </x:c>
      <x:c r="Z7" s="27" t="n">
        <x:v>4</x:v>
      </x:c>
      <x:c r="AA7" s="27" t="str">
        <x:v>sarimax_exogenous</x:v>
      </x:c>
      <x:c r="AB7" s="27" t="str">
        <x:v>sarimax_demand_hgb_mix_ridge_product_yield</x:v>
      </x:c>
      <x:c r="AC7" s="29" t="n">
        <x:v>46022</x:v>
      </x:c>
      <x:c r="AD7" s="34" t="n">
        <x:v>103.25</x:v>
      </x:c>
      <x:c r="AE7" s="31" t="n">
        <x:v>0.0751</x:v>
      </x:c>
      <x:c r="AF7" s="27" t="str">
        <x:v>monitor_only</x:v>
      </x:c>
      <x:c r="AG7" s="27" t="str">
        <x:v>Jan 4</x:v>
      </x:c>
    </x:row>
    <x:row r="8" ht="18" customHeight="1">
      <x:c r="A8" s="29" t="n">
        <x:v>46027</x:v>
      </x:c>
      <x:c r="B8" s="30" t="n">
        <x:v>1004.06</x:v>
      </x:c>
      <x:c r="C8" s="30" t="n">
        <x:v>802.63</x:v>
      </x:c>
      <x:c r="D8" s="30" t="n">
        <x:v>1205.5</x:v>
      </x:c>
      <x:c r="E8" s="30" t="n">
        <x:v>2350</x:v>
      </x:c>
      <x:c r="F8" s="30" t="n">
        <x:v>1024</x:v>
      </x:c>
      <x:c r="G8" s="30" t="n">
        <x:f>B8-F8</x:f>
        <x:v>-19.940000000000055</x:v>
      </x:c>
      <x:c r="H8" s="31" t="n">
        <x:f>IF(F8=0,"n.a.",G8/F8)</x:f>
        <x:v>-0.019472656250000053</x:v>
      </x:c>
      <x:c r="I8" s="31" t="n">
        <x:f>IF(E8=0,"n.a.",B8/E8)</x:f>
        <x:v>0.4272595744680851</x:v>
      </x:c>
      <x:c r="J8" s="31" t="n">
        <x:f>IF(E8=0,"n.a.",D8/E8)</x:f>
        <x:v>0.5129787234042553</x:v>
      </x:c>
      <x:c r="K8" s="32" t="n">
        <x:v>106334.46</x:v>
      </x:c>
      <x:c r="L8" s="32" t="n">
        <x:v>83738.28</x:v>
      </x:c>
      <x:c r="M8" s="32" t="n">
        <x:v>128930.64</x:v>
      </x:c>
      <x:c r="N8" s="32" t="n">
        <x:v>101410.04</x:v>
      </x:c>
      <x:c r="O8" s="32" t="n">
        <x:f>K8-N8</x:f>
        <x:v>4924.420000000013</x:v>
      </x:c>
      <x:c r="P8" s="31" t="n">
        <x:f>IF(N8=0,"n.a.",O8/N8)</x:f>
        <x:v>0.04855949174263232</x:v>
      </x:c>
      <x:c r="Q8" s="27" t="str">
        <x:v>No change</x:v>
      </x:c>
      <x:c r="R8" s="27" t="str">
        <x:v>Keep the current plan.</x:v>
      </x:c>
      <x:c r="S8" s="27" t="str">
        <x:v>Maintain the current plan and refresh the forecast as new booking signals arrive.</x:v>
      </x:c>
      <x:c r="T8" s="27" t="str">
        <x:f>IF(Q8="Review",COUNTIFS($Q$4:Q8,"Review"),"")</x:f>
      </x:c>
      <x:c r="U8" s="28" t="b">
        <x:v>0</x:v>
      </x:c>
      <x:c r="V8" s="28" t="b">
        <x:v>0</x:v>
      </x:c>
      <x:c r="W8" s="28" t="b">
        <x:v>0</x:v>
      </x:c>
      <x:c r="X8" s="33" t="n">
        <x:v>0.9448</x:v>
      </x:c>
      <x:c r="Y8" s="27" t="n">
        <x:v>0</x:v>
      </x:c>
      <x:c r="Z8" s="27" t="n">
        <x:v>5</x:v>
      </x:c>
      <x:c r="AA8" s="27" t="str">
        <x:v>sarimax_exogenous</x:v>
      </x:c>
      <x:c r="AB8" s="27" t="str">
        <x:v>sarimax_demand_hgb_mix_ridge_product_yield</x:v>
      </x:c>
      <x:c r="AC8" s="29" t="n">
        <x:v>46022</x:v>
      </x:c>
      <x:c r="AD8" s="34" t="n">
        <x:v>103.25</x:v>
      </x:c>
      <x:c r="AE8" s="31" t="n">
        <x:v>0.0751</x:v>
      </x:c>
      <x:c r="AF8" s="27" t="str">
        <x:v>monitor_only</x:v>
      </x:c>
      <x:c r="AG8" s="27" t="str">
        <x:v>Jan 5</x:v>
      </x:c>
    </x:row>
    <x:row r="9" ht="18" customHeight="1">
      <x:c r="A9" s="29" t="n">
        <x:v>46028</x:v>
      </x:c>
      <x:c r="B9" s="30" t="n">
        <x:v>949.74</x:v>
      </x:c>
      <x:c r="C9" s="30" t="n">
        <x:v>748.3</x:v>
      </x:c>
      <x:c r="D9" s="30" t="n">
        <x:v>1151.17</x:v>
      </x:c>
      <x:c r="E9" s="30" t="n">
        <x:v>2350</x:v>
      </x:c>
      <x:c r="F9" s="30" t="n">
        <x:v>990</x:v>
      </x:c>
      <x:c r="G9" s="30" t="n">
        <x:f>B9-F9</x:f>
        <x:v>-40.25999999999999</x:v>
      </x:c>
      <x:c r="H9" s="31" t="n">
        <x:f>IF(F9=0,"n.a.",G9/F9)</x:f>
        <x:v>-0.040666666666666657</x:v>
      </x:c>
      <x:c r="I9" s="31" t="n">
        <x:f>IF(E9=0,"n.a.",B9/E9)</x:f>
        <x:v>0.4041446808510638</x:v>
      </x:c>
      <x:c r="J9" s="31" t="n">
        <x:f>IF(E9=0,"n.a.",D9/E9)</x:f>
        <x:v>0.48985957446808515</x:v>
      </x:c>
      <x:c r="K9" s="32" t="n">
        <x:v>99678.81</x:v>
      </x:c>
      <x:c r="L9" s="32" t="n">
        <x:v>77082.63</x:v>
      </x:c>
      <x:c r="M9" s="32" t="n">
        <x:v>122274.99</x:v>
      </x:c>
      <x:c r="N9" s="32" t="n">
        <x:v>96642</x:v>
      </x:c>
      <x:c r="O9" s="32" t="n">
        <x:f>K9-N9</x:f>
        <x:v>3036.8099999999977</x:v>
      </x:c>
      <x:c r="P9" s="31" t="n">
        <x:f>IF(N9=0,"n.a.",O9/N9)</x:f>
        <x:v>0.03142329421990436</x:v>
      </x:c>
      <x:c r="Q9" s="27" t="str">
        <x:v>No change</x:v>
      </x:c>
      <x:c r="R9" s="27" t="str">
        <x:v>Keep the current plan.</x:v>
      </x:c>
      <x:c r="S9" s="27" t="str">
        <x:v>Maintain the current plan and refresh the forecast as new booking signals arrive.</x:v>
      </x:c>
      <x:c r="T9" s="27" t="str">
        <x:f>IF(Q9="Review",COUNTIFS($Q$4:Q9,"Review"),"")</x:f>
      </x:c>
      <x:c r="U9" s="28" t="b">
        <x:v>0</x:v>
      </x:c>
      <x:c r="V9" s="28" t="b">
        <x:v>0</x:v>
      </x:c>
      <x:c r="W9" s="28" t="b">
        <x:v>0</x:v>
      </x:c>
      <x:c r="X9" s="33" t="n">
        <x:v>0.9313</x:v>
      </x:c>
      <x:c r="Y9" s="27" t="n">
        <x:v>0</x:v>
      </x:c>
      <x:c r="Z9" s="27" t="n">
        <x:v>6</x:v>
      </x:c>
      <x:c r="AA9" s="27" t="str">
        <x:v>sarimax_exogenous</x:v>
      </x:c>
      <x:c r="AB9" s="27" t="str">
        <x:v>sarimax_demand_hgb_mix_ridge_product_yield</x:v>
      </x:c>
      <x:c r="AC9" s="29" t="n">
        <x:v>46022</x:v>
      </x:c>
      <x:c r="AD9" s="34" t="n">
        <x:v>103.25</x:v>
      </x:c>
      <x:c r="AE9" s="31" t="n">
        <x:v>0.0751</x:v>
      </x:c>
      <x:c r="AF9" s="27" t="str">
        <x:v>monitor_only</x:v>
      </x:c>
      <x:c r="AG9" s="27" t="str">
        <x:v>Jan 6</x:v>
      </x:c>
    </x:row>
    <x:row r="10" ht="18" customHeight="1">
      <x:c r="A10" s="29" t="n">
        <x:v>46029</x:v>
      </x:c>
      <x:c r="B10" s="30" t="n">
        <x:v>958.93</x:v>
      </x:c>
      <x:c r="C10" s="30" t="n">
        <x:v>757.5</x:v>
      </x:c>
      <x:c r="D10" s="30" t="n">
        <x:v>1160.36</x:v>
      </x:c>
      <x:c r="E10" s="30" t="n">
        <x:v>2350</x:v>
      </x:c>
      <x:c r="F10" s="30" t="n">
        <x:v>985</x:v>
      </x:c>
      <x:c r="G10" s="30" t="n">
        <x:f>B10-F10</x:f>
        <x:v>-26.07000000000005</x:v>
      </x:c>
      <x:c r="H10" s="31" t="n">
        <x:f>IF(F10=0,"n.a.",G10/F10)</x:f>
        <x:v>-0.02646700507614218</x:v>
      </x:c>
      <x:c r="I10" s="31" t="n">
        <x:f>IF(E10=0,"n.a.",B10/E10)</x:f>
        <x:v>0.40805531914893617</x:v>
      </x:c>
      <x:c r="J10" s="31" t="n">
        <x:f>IF(E10=0,"n.a.",D10/E10)</x:f>
        <x:v>0.4937702127659574</x:v>
      </x:c>
      <x:c r="K10" s="32" t="n">
        <x:v>103413.1</x:v>
      </x:c>
      <x:c r="L10" s="32" t="n">
        <x:v>80816.92</x:v>
      </x:c>
      <x:c r="M10" s="32" t="n">
        <x:v>126009.28</x:v>
      </x:c>
      <x:c r="N10" s="32" t="n">
        <x:v>98807.35</x:v>
      </x:c>
      <x:c r="O10" s="32" t="n">
        <x:f>K10-N10</x:f>
        <x:v>4605.75</x:v>
      </x:c>
      <x:c r="P10" s="31" t="n">
        <x:f>IF(N10=0,"n.a.",O10/N10)</x:f>
        <x:v>0.04661343513412716</x:v>
      </x:c>
      <x:c r="Q10" s="27" t="str">
        <x:v>No change</x:v>
      </x:c>
      <x:c r="R10" s="27" t="str">
        <x:v>Keep the current plan.</x:v>
      </x:c>
      <x:c r="S10" s="27" t="str">
        <x:v>Maintain the current plan and refresh the forecast as new booking signals arrive.</x:v>
      </x:c>
      <x:c r="T10" s="27" t="str">
        <x:f>IF(Q10="Review",COUNTIFS($Q$4:Q10,"Review"),"")</x:f>
      </x:c>
      <x:c r="U10" s="28" t="b">
        <x:v>0</x:v>
      </x:c>
      <x:c r="V10" s="28" t="b">
        <x:v>0</x:v>
      </x:c>
      <x:c r="W10" s="28" t="b">
        <x:v>0</x:v>
      </x:c>
      <x:c r="X10" s="33" t="n">
        <x:v>0.957</x:v>
      </x:c>
      <x:c r="Y10" s="27" t="n">
        <x:v>0</x:v>
      </x:c>
      <x:c r="Z10" s="27" t="n">
        <x:v>7</x:v>
      </x:c>
      <x:c r="AA10" s="27" t="str">
        <x:v>sarimax_exogenous</x:v>
      </x:c>
      <x:c r="AB10" s="27" t="str">
        <x:v>sarimax_demand_hgb_mix_ridge_product_yield</x:v>
      </x:c>
      <x:c r="AC10" s="29" t="n">
        <x:v>46022</x:v>
      </x:c>
      <x:c r="AD10" s="34" t="n">
        <x:v>103.25</x:v>
      </x:c>
      <x:c r="AE10" s="31" t="n">
        <x:v>0.0751</x:v>
      </x:c>
      <x:c r="AF10" s="27" t="str">
        <x:v>monitor_only</x:v>
      </x:c>
      <x:c r="AG10" s="27" t="str">
        <x:v>Jan 7</x:v>
      </x:c>
    </x:row>
    <x:row r="11" ht="18" customHeight="1">
      <x:c r="A11" s="29" t="n">
        <x:v>46030</x:v>
      </x:c>
      <x:c r="B11" s="30" t="n">
        <x:v>1102.72</x:v>
      </x:c>
      <x:c r="C11" s="30" t="n">
        <x:v>965.89</x:v>
      </x:c>
      <x:c r="D11" s="30" t="n">
        <x:v>1239.55</x:v>
      </x:c>
      <x:c r="E11" s="30" t="n">
        <x:v>2350</x:v>
      </x:c>
      <x:c r="F11" s="30" t="n">
        <x:v>1120</x:v>
      </x:c>
      <x:c r="G11" s="30" t="n">
        <x:f>B11-F11</x:f>
        <x:v>-17.279999999999973</x:v>
      </x:c>
      <x:c r="H11" s="31" t="n">
        <x:f>IF(F11=0,"n.a.",G11/F11)</x:f>
        <x:v>-0.015428571428571404</x:v>
      </x:c>
      <x:c r="I11" s="31" t="n">
        <x:f>IF(E11=0,"n.a.",B11/E11)</x:f>
        <x:v>0.4692425531914894</x:v>
      </x:c>
      <x:c r="J11" s="31" t="n">
        <x:f>IF(E11=0,"n.a.",D11/E11)</x:f>
        <x:v>0.527468085106383</x:v>
      </x:c>
      <x:c r="K11" s="32" t="n">
        <x:v>115195.49</x:v>
      </x:c>
      <x:c r="L11" s="32" t="n">
        <x:v>98422.23</x:v>
      </x:c>
      <x:c r="M11" s="32" t="n">
        <x:v>131968.74</x:v>
      </x:c>
      <x:c r="N11" s="32" t="n">
        <x:v>109027.13</x:v>
      </x:c>
      <x:c r="O11" s="32" t="n">
        <x:f>K11-N11</x:f>
        <x:v>6168.360000000001</x:v>
      </x:c>
      <x:c r="P11" s="31" t="n">
        <x:f>IF(N11=0,"n.a.",O11/N11)</x:f>
        <x:v>0.05657637690728904</x:v>
      </x:c>
      <x:c r="Q11" s="27" t="str">
        <x:v>No change</x:v>
      </x:c>
      <x:c r="R11" s="27" t="str">
        <x:v>Keep the current plan.</x:v>
      </x:c>
      <x:c r="S11" s="27" t="str">
        <x:v>Maintain the current plan and refresh the forecast as new booking signals arrive.</x:v>
      </x:c>
      <x:c r="T11" s="27" t="str">
        <x:f>IF(Q11="Review",COUNTIFS($Q$4:Q11,"Review"),"")</x:f>
      </x:c>
      <x:c r="U11" s="28" t="b">
        <x:v>0</x:v>
      </x:c>
      <x:c r="V11" s="28" t="b">
        <x:v>0</x:v>
      </x:c>
      <x:c r="W11" s="28" t="b">
        <x:v>0</x:v>
      </x:c>
      <x:c r="X11" s="33" t="n">
        <x:v>0.9287</x:v>
      </x:c>
      <x:c r="Y11" s="27" t="n">
        <x:v>0</x:v>
      </x:c>
      <x:c r="Z11" s="27" t="n">
        <x:v>8</x:v>
      </x:c>
      <x:c r="AA11" s="27" t="str">
        <x:v>sarimax_exogenous</x:v>
      </x:c>
      <x:c r="AB11" s="27" t="str">
        <x:v>sarimax_demand_hgb_mix_ridge_product_yield</x:v>
      </x:c>
      <x:c r="AC11" s="29" t="n">
        <x:v>46022</x:v>
      </x:c>
      <x:c r="AD11" s="34" t="n">
        <x:v>103.25</x:v>
      </x:c>
      <x:c r="AE11" s="31" t="n">
        <x:v>0.0751</x:v>
      </x:c>
      <x:c r="AF11" s="27" t="str">
        <x:v>monitor_only</x:v>
      </x:c>
      <x:c r="AG11" s="27" t="str">
        <x:v>Jan 8</x:v>
      </x:c>
    </x:row>
    <x:row r="12" ht="18" customHeight="1">
      <x:c r="A12" s="29" t="n">
        <x:v>46031</x:v>
      </x:c>
      <x:c r="B12" s="30" t="n">
        <x:v>1323.02</x:v>
      </x:c>
      <x:c r="C12" s="30" t="n">
        <x:v>1186.18</x:v>
      </x:c>
      <x:c r="D12" s="30" t="n">
        <x:v>1459.85</x:v>
      </x:c>
      <x:c r="E12" s="30" t="n">
        <x:v>2350</x:v>
      </x:c>
      <x:c r="F12" s="30" t="n">
        <x:v>1333</x:v>
      </x:c>
      <x:c r="G12" s="30" t="n">
        <x:f>B12-F12</x:f>
        <x:v>-9.980000000000018</x:v>
      </x:c>
      <x:c r="H12" s="31" t="n">
        <x:f>IF(F12=0,"n.a.",G12/F12)</x:f>
        <x:v>-0.007486871717929496</x:v>
      </x:c>
      <x:c r="I12" s="31" t="n">
        <x:f>IF(E12=0,"n.a.",B12/E12)</x:f>
        <x:v>0.5629872340425531</x:v>
      </x:c>
      <x:c r="J12" s="31" t="n">
        <x:f>IF(E12=0,"n.a.",D12/E12)</x:f>
        <x:v>0.6212127659574468</x:v>
      </x:c>
      <x:c r="K12" s="32" t="n">
        <x:v>138109.1</x:v>
      </x:c>
      <x:c r="L12" s="32" t="n">
        <x:v>121335.84</x:v>
      </x:c>
      <x:c r="M12" s="32" t="n">
        <x:v>154882.35</x:v>
      </x:c>
      <x:c r="N12" s="32" t="n">
        <x:v>129936.66</x:v>
      </x:c>
      <x:c r="O12" s="32" t="n">
        <x:f>K12-N12</x:f>
        <x:v>8172.440000000002</x:v>
      </x:c>
      <x:c r="P12" s="31" t="n">
        <x:f>IF(N12=0,"n.a.",O12/N12)</x:f>
        <x:v>0.06289556773277073</x:v>
      </x:c>
      <x:c r="Q12" s="27" t="str">
        <x:v>No change</x:v>
      </x:c>
      <x:c r="R12" s="27" t="str">
        <x:v>Keep the current plan.</x:v>
      </x:c>
      <x:c r="S12" s="27" t="str">
        <x:v>Maintain the current plan and refresh the forecast as new booking signals arrive.</x:v>
      </x:c>
      <x:c r="T12" s="27" t="str">
        <x:f>IF(Q12="Review",COUNTIFS($Q$4:Q12,"Review"),"")</x:f>
      </x:c>
      <x:c r="U12" s="28" t="b">
        <x:v>0</x:v>
      </x:c>
      <x:c r="V12" s="28" t="b">
        <x:v>0</x:v>
      </x:c>
      <x:c r="W12" s="28" t="b">
        <x:v>0</x:v>
      </x:c>
      <x:c r="X12" s="33" t="n">
        <x:v>0.9227</x:v>
      </x:c>
      <x:c r="Y12" s="27" t="n">
        <x:v>0</x:v>
      </x:c>
      <x:c r="Z12" s="27" t="n">
        <x:v>9</x:v>
      </x:c>
      <x:c r="AA12" s="27" t="str">
        <x:v>sarimax_exogenous</x:v>
      </x:c>
      <x:c r="AB12" s="27" t="str">
        <x:v>sarimax_demand_hgb_mix_ridge_product_yield</x:v>
      </x:c>
      <x:c r="AC12" s="29" t="n">
        <x:v>46022</x:v>
      </x:c>
      <x:c r="AD12" s="34" t="n">
        <x:v>103.25</x:v>
      </x:c>
      <x:c r="AE12" s="31" t="n">
        <x:v>0.0751</x:v>
      </x:c>
      <x:c r="AF12" s="27" t="str">
        <x:v>monitor_only</x:v>
      </x:c>
      <x:c r="AG12" s="27" t="str">
        <x:v>Jan 9</x:v>
      </x:c>
    </x:row>
    <x:row r="13" ht="18" customHeight="1">
      <x:c r="A13" s="29" t="n">
        <x:v>46032</x:v>
      </x:c>
      <x:c r="B13" s="30" t="n">
        <x:v>1773.2</x:v>
      </x:c>
      <x:c r="C13" s="30" t="n">
        <x:v>1636.36</x:v>
      </x:c>
      <x:c r="D13" s="30" t="n">
        <x:v>1910.03</x:v>
      </x:c>
      <x:c r="E13" s="30" t="n">
        <x:v>2500</x:v>
      </x:c>
      <x:c r="F13" s="30" t="n">
        <x:v>1737</x:v>
      </x:c>
      <x:c r="G13" s="30" t="n">
        <x:f>B13-F13</x:f>
        <x:v>36.200000000000045</x:v>
      </x:c>
      <x:c r="H13" s="31" t="n">
        <x:f>IF(F13=0,"n.a.",G13/F13)</x:f>
        <x:v>0.02084052964881983</x:v>
      </x:c>
      <x:c r="I13" s="31" t="n">
        <x:f>IF(E13=0,"n.a.",B13/E13)</x:f>
        <x:v>0.70928</x:v>
      </x:c>
      <x:c r="J13" s="31" t="n">
        <x:f>IF(E13=0,"n.a.",D13/E13)</x:f>
        <x:v>0.764012</x:v>
      </x:c>
      <x:c r="K13" s="32" t="n">
        <x:v>206348.69</x:v>
      </x:c>
      <x:c r="L13" s="32" t="n">
        <x:v>189575.44</x:v>
      </x:c>
      <x:c r="M13" s="32" t="n">
        <x:v>223121.95</x:v>
      </x:c>
      <x:c r="N13" s="32" t="n">
        <x:v>188761.17</x:v>
      </x:c>
      <x:c r="O13" s="32" t="n">
        <x:f>K13-N13</x:f>
        <x:v>17587.51999999999</x:v>
      </x:c>
      <x:c r="P13" s="31" t="n">
        <x:f>IF(N13=0,"n.a.",O13/N13)</x:f>
        <x:v>0.09317340001653936</x:v>
      </x:c>
      <x:c r="Q13" s="27" t="str">
        <x:v>Review</x:v>
      </x:c>
      <x:c r="R13" s="27" t="str">
        <x:v>Protect price: revenue is 9.3% above plan.</x:v>
      </x:c>
      <x:c r="S13" s="27" t="str">
        <x:v>Maintain the plan and protect pricing because the full revenue interval is above target.</x:v>
      </x:c>
      <x:c r="T13" s="27" t="n">
        <x:f>IF(Q13="Review",COUNTIFS($Q$4:Q13,"Review"),"")</x:f>
        <x:v>1</x:v>
      </x:c>
      <x:c r="U13" s="28" t="b">
        <x:v>0</x:v>
      </x:c>
      <x:c r="V13" s="28" t="b">
        <x:v>1</x:v>
      </x:c>
      <x:c r="W13" s="28" t="b">
        <x:v>0</x:v>
      </x:c>
      <x:c r="X13" s="33" t="n">
        <x:v>1.0118</x:v>
      </x:c>
      <x:c r="Y13" s="27" t="n">
        <x:v>0</x:v>
      </x:c>
      <x:c r="Z13" s="27" t="n">
        <x:v>10</x:v>
      </x:c>
      <x:c r="AA13" s="27" t="str">
        <x:v>sarimax_exogenous</x:v>
      </x:c>
      <x:c r="AB13" s="27" t="str">
        <x:v>sarimax_demand_hgb_mix_ridge_product_yield</x:v>
      </x:c>
      <x:c r="AC13" s="29" t="n">
        <x:v>46022</x:v>
      </x:c>
      <x:c r="AD13" s="34" t="n">
        <x:v>103.25</x:v>
      </x:c>
      <x:c r="AE13" s="31" t="n">
        <x:v>0.0751</x:v>
      </x:c>
      <x:c r="AF13" s="27" t="str">
        <x:v>medium</x:v>
      </x:c>
      <x:c r="AG13" s="27" t="str">
        <x:v>Jan 10</x:v>
      </x:c>
    </x:row>
    <x:row r="14" ht="18" customHeight="1">
      <x:c r="A14" s="29" t="n">
        <x:v>46033</x:v>
      </x:c>
      <x:c r="B14" s="30" t="n">
        <x:v>1555.78</x:v>
      </x:c>
      <x:c r="C14" s="30" t="n">
        <x:v>1418.94</x:v>
      </x:c>
      <x:c r="D14" s="30" t="n">
        <x:v>1692.61</x:v>
      </x:c>
      <x:c r="E14" s="30" t="n">
        <x:v>2500</x:v>
      </x:c>
      <x:c r="F14" s="30" t="n">
        <x:v>1532</x:v>
      </x:c>
      <x:c r="G14" s="30" t="n">
        <x:f>B14-F14</x:f>
        <x:v>23.779999999999973</x:v>
      </x:c>
      <x:c r="H14" s="31" t="n">
        <x:f>IF(F14=0,"n.a.",G14/F14)</x:f>
        <x:v>0.015522193211488233</x:v>
      </x:c>
      <x:c r="I14" s="31" t="n">
        <x:f>IF(E14=0,"n.a.",B14/E14)</x:f>
        <x:v>0.622312</x:v>
      </x:c>
      <x:c r="J14" s="31" t="n">
        <x:f>IF(E14=0,"n.a.",D14/E14)</x:f>
        <x:v>0.677044</x:v>
      </x:c>
      <x:c r="K14" s="32" t="n">
        <x:v>178326.75</x:v>
      </x:c>
      <x:c r="L14" s="32" t="n">
        <x:v>161553.5</x:v>
      </x:c>
      <x:c r="M14" s="32" t="n">
        <x:v>195100</x:v>
      </x:c>
      <x:c r="N14" s="32" t="n">
        <x:v>163818.07</x:v>
      </x:c>
      <x:c r="O14" s="32" t="n">
        <x:f>K14-N14</x:f>
        <x:v>14508.679999999993</x:v>
      </x:c>
      <x:c r="P14" s="31" t="n">
        <x:f>IF(N14=0,"n.a.",O14/N14)</x:f>
        <x:v>0.08856580962039165</x:v>
      </x:c>
      <x:c r="Q14" s="27" t="str">
        <x:v>No change</x:v>
      </x:c>
      <x:c r="R14" s="27" t="str">
        <x:v>Keep the current plan.</x:v>
      </x:c>
      <x:c r="S14" s="27" t="str">
        <x:v>Maintain the current plan and refresh the forecast as new booking signals arrive.</x:v>
      </x:c>
      <x:c r="T14" s="27" t="str">
        <x:f>IF(Q14="Review",COUNTIFS($Q$4:Q14,"Review"),"")</x:f>
      </x:c>
      <x:c r="U14" s="28" t="b">
        <x:v>0</x:v>
      </x:c>
      <x:c r="V14" s="28" t="b">
        <x:v>1</x:v>
      </x:c>
      <x:c r="W14" s="28" t="b">
        <x:v>0</x:v>
      </x:c>
      <x:c r="X14" s="33" t="n">
        <x:v>0.9956</x:v>
      </x:c>
      <x:c r="Y14" s="27" t="n">
        <x:v>0</x:v>
      </x:c>
      <x:c r="Z14" s="27" t="n">
        <x:v>11</x:v>
      </x:c>
      <x:c r="AA14" s="27" t="str">
        <x:v>sarimax_exogenous</x:v>
      </x:c>
      <x:c r="AB14" s="27" t="str">
        <x:v>sarimax_demand_hgb_mix_ridge_product_yield</x:v>
      </x:c>
      <x:c r="AC14" s="29" t="n">
        <x:v>46022</x:v>
      </x:c>
      <x:c r="AD14" s="34" t="n">
        <x:v>103.25</x:v>
      </x:c>
      <x:c r="AE14" s="31" t="n">
        <x:v>0.0751</x:v>
      </x:c>
      <x:c r="AF14" s="27" t="str">
        <x:v>monitor_only</x:v>
      </x:c>
      <x:c r="AG14" s="27" t="str">
        <x:v>Jan 11</x:v>
      </x:c>
    </x:row>
    <x:row r="15" ht="18" customHeight="1">
      <x:c r="A15" s="29" t="n">
        <x:v>46034</x:v>
      </x:c>
      <x:c r="B15" s="30" t="n">
        <x:v>988.55</x:v>
      </x:c>
      <x:c r="C15" s="30" t="n">
        <x:v>851.72</x:v>
      </x:c>
      <x:c r="D15" s="30" t="n">
        <x:v>1125.38</x:v>
      </x:c>
      <x:c r="E15" s="30" t="n">
        <x:v>2350</x:v>
      </x:c>
      <x:c r="F15" s="30" t="n">
        <x:v>1009</x:v>
      </x:c>
      <x:c r="G15" s="30" t="n">
        <x:f>B15-F15</x:f>
        <x:v>-20.450000000000045</x:v>
      </x:c>
      <x:c r="H15" s="31" t="n">
        <x:f>IF(F15=0,"n.a.",G15/F15)</x:f>
        <x:v>-0.020267591674925714</x:v>
      </x:c>
      <x:c r="I15" s="31" t="n">
        <x:f>IF(E15=0,"n.a.",B15/E15)</x:f>
        <x:v>0.4206595744680851</x:v>
      </x:c>
      <x:c r="J15" s="31" t="n">
        <x:f>IF(E15=0,"n.a.",D15/E15)</x:f>
        <x:v>0.47888510638297876</x:v>
      </x:c>
      <x:c r="K15" s="32" t="n">
        <x:v>106429.19</x:v>
      </x:c>
      <x:c r="L15" s="32" t="n">
        <x:v>89655.94</x:v>
      </x:c>
      <x:c r="M15" s="32" t="n">
        <x:v>123202.45</x:v>
      </x:c>
      <x:c r="N15" s="32" t="n">
        <x:v>101288.88</x:v>
      </x:c>
      <x:c r="O15" s="32" t="n">
        <x:f>K15-N15</x:f>
        <x:v>5140.309999999998</x:v>
      </x:c>
      <x:c r="P15" s="31" t="n">
        <x:f>IF(N15=0,"n.a.",O15/N15)</x:f>
        <x:v>0.0507490062087763</x:v>
      </x:c>
      <x:c r="Q15" s="27" t="str">
        <x:v>No change</x:v>
      </x:c>
      <x:c r="R15" s="27" t="str">
        <x:v>Keep the current plan.</x:v>
      </x:c>
      <x:c r="S15" s="27" t="str">
        <x:v>Maintain the current plan and refresh the forecast as new booking signals arrive.</x:v>
      </x:c>
      <x:c r="T15" s="27" t="str">
        <x:f>IF(Q15="Review",COUNTIFS($Q$4:Q15,"Review"),"")</x:f>
      </x:c>
      <x:c r="U15" s="28" t="b">
        <x:v>0</x:v>
      </x:c>
      <x:c r="V15" s="28" t="b">
        <x:v>0</x:v>
      </x:c>
      <x:c r="W15" s="28" t="b">
        <x:v>0</x:v>
      </x:c>
      <x:c r="X15" s="33" t="n">
        <x:v>0.9577</x:v>
      </x:c>
      <x:c r="Y15" s="27" t="n">
        <x:v>0</x:v>
      </x:c>
      <x:c r="Z15" s="27" t="n">
        <x:v>12</x:v>
      </x:c>
      <x:c r="AA15" s="27" t="str">
        <x:v>sarimax_exogenous</x:v>
      </x:c>
      <x:c r="AB15" s="27" t="str">
        <x:v>sarimax_demand_hgb_mix_ridge_product_yield</x:v>
      </x:c>
      <x:c r="AC15" s="29" t="n">
        <x:v>46022</x:v>
      </x:c>
      <x:c r="AD15" s="34" t="n">
        <x:v>103.25</x:v>
      </x:c>
      <x:c r="AE15" s="31" t="n">
        <x:v>0.0751</x:v>
      </x:c>
      <x:c r="AF15" s="27" t="str">
        <x:v>monitor_only</x:v>
      </x:c>
      <x:c r="AG15" s="27" t="str">
        <x:v>Jan 12</x:v>
      </x:c>
    </x:row>
    <x:row r="16" ht="18" customHeight="1">
      <x:c r="A16" s="29" t="n">
        <x:v>46035</x:v>
      </x:c>
      <x:c r="B16" s="30" t="n">
        <x:v>947.23</x:v>
      </x:c>
      <x:c r="C16" s="30" t="n">
        <x:v>810.39</x:v>
      </x:c>
      <x:c r="D16" s="30" t="n">
        <x:v>1084.06</x:v>
      </x:c>
      <x:c r="E16" s="30" t="n">
        <x:v>2350</x:v>
      </x:c>
      <x:c r="F16" s="30" t="n">
        <x:v>976</x:v>
      </x:c>
      <x:c r="G16" s="30" t="n">
        <x:f>B16-F16</x:f>
        <x:v>-28.769999999999982</x:v>
      </x:c>
      <x:c r="H16" s="31" t="n">
        <x:f>IF(F16=0,"n.a.",G16/F16)</x:f>
        <x:v>-0.029477459016393422</x:v>
      </x:c>
      <x:c r="I16" s="31" t="n">
        <x:f>IF(E16=0,"n.a.",B16/E16)</x:f>
        <x:v>0.40307659574468085</x:v>
      </x:c>
      <x:c r="J16" s="31" t="n">
        <x:f>IF(E16=0,"n.a.",D16/E16)</x:f>
        <x:v>0.46130212765957446</x:v>
      </x:c>
      <x:c r="K16" s="32" t="n">
        <x:v>100619.78</x:v>
      </x:c>
      <x:c r="L16" s="32" t="n">
        <x:v>83846.53</x:v>
      </x:c>
      <x:c r="M16" s="32" t="n">
        <x:v>117393.04</x:v>
      </x:c>
      <x:c r="N16" s="32" t="n">
        <x:v>96472.29</x:v>
      </x:c>
      <x:c r="O16" s="32" t="n">
        <x:f>K16-N16</x:f>
        <x:v>4147.490000000005</x:v>
      </x:c>
      <x:c r="P16" s="31" t="n">
        <x:f>IF(N16=0,"n.a.",O16/N16)</x:f>
        <x:v>0.042991516009415816</x:v>
      </x:c>
      <x:c r="Q16" s="27" t="str">
        <x:v>No change</x:v>
      </x:c>
      <x:c r="R16" s="27" t="str">
        <x:v>Keep the current plan.</x:v>
      </x:c>
      <x:c r="S16" s="27" t="str">
        <x:v>Maintain the current plan and refresh the forecast as new booking signals arrive.</x:v>
      </x:c>
      <x:c r="T16" s="27" t="str">
        <x:f>IF(Q16="Review",COUNTIFS($Q$4:Q16,"Review"),"")</x:f>
      </x:c>
      <x:c r="U16" s="28" t="b">
        <x:v>0</x:v>
      </x:c>
      <x:c r="V16" s="28" t="b">
        <x:v>0</x:v>
      </x:c>
      <x:c r="W16" s="28" t="b">
        <x:v>0</x:v>
      </x:c>
      <x:c r="X16" s="33" t="n">
        <x:v>0.943</x:v>
      </x:c>
      <x:c r="Y16" s="27" t="n">
        <x:v>0</x:v>
      </x:c>
      <x:c r="Z16" s="27" t="n">
        <x:v>13</x:v>
      </x:c>
      <x:c r="AA16" s="27" t="str">
        <x:v>sarimax_exogenous</x:v>
      </x:c>
      <x:c r="AB16" s="27" t="str">
        <x:v>sarimax_demand_hgb_mix_ridge_product_yield</x:v>
      </x:c>
      <x:c r="AC16" s="29" t="n">
        <x:v>46022</x:v>
      </x:c>
      <x:c r="AD16" s="34" t="n">
        <x:v>103.25</x:v>
      </x:c>
      <x:c r="AE16" s="31" t="n">
        <x:v>0.0751</x:v>
      </x:c>
      <x:c r="AF16" s="27" t="str">
        <x:v>monitor_only</x:v>
      </x:c>
      <x:c r="AG16" s="27" t="str">
        <x:v>Jan 13</x:v>
      </x:c>
    </x:row>
    <x:row r="17" ht="18" customHeight="1">
      <x:c r="A17" s="29" t="n">
        <x:v>46036</x:v>
      </x:c>
      <x:c r="B17" s="30" t="n">
        <x:v>996.8</x:v>
      </x:c>
      <x:c r="C17" s="30" t="n">
        <x:v>859.96</x:v>
      </x:c>
      <x:c r="D17" s="30" t="n">
        <x:v>1133.63</x:v>
      </x:c>
      <x:c r="E17" s="30" t="n">
        <x:v>2350</x:v>
      </x:c>
      <x:c r="F17" s="30" t="n">
        <x:v>1019</x:v>
      </x:c>
      <x:c r="G17" s="30" t="n">
        <x:f>B17-F17</x:f>
        <x:v>-22.200000000000045</x:v>
      </x:c>
      <x:c r="H17" s="31" t="n">
        <x:f>IF(F17=0,"n.a.",G17/F17)</x:f>
        <x:v>-0.02178606476938179</x:v>
      </x:c>
      <x:c r="I17" s="31" t="n">
        <x:f>IF(E17=0,"n.a.",B17/E17)</x:f>
        <x:v>0.42417021276595746</x:v>
      </x:c>
      <x:c r="J17" s="31" t="n">
        <x:f>IF(E17=0,"n.a.",D17/E17)</x:f>
        <x:v>0.4823957446808511</x:v>
      </x:c>
      <x:c r="K17" s="32" t="n">
        <x:v>104164.57</x:v>
      </x:c>
      <x:c r="L17" s="32" t="n">
        <x:v>87391.31</x:v>
      </x:c>
      <x:c r="M17" s="32" t="n">
        <x:v>120937.82</x:v>
      </x:c>
      <x:c r="N17" s="32" t="n">
        <x:v>99109.77</x:v>
      </x:c>
      <x:c r="O17" s="32" t="n">
        <x:f>K17-N17</x:f>
        <x:v>5054.800000000003</x:v>
      </x:c>
      <x:c r="P17" s="31" t="n">
        <x:f>IF(N17=0,"n.a.",O17/N17)</x:f>
        <x:v>0.05100203541991877</x:v>
      </x:c>
      <x:c r="Q17" s="27" t="str">
        <x:v>No change</x:v>
      </x:c>
      <x:c r="R17" s="27" t="str">
        <x:v>Keep the current plan.</x:v>
      </x:c>
      <x:c r="S17" s="27" t="str">
        <x:v>Maintain the current plan and refresh the forecast as new booking signals arrive.</x:v>
      </x:c>
      <x:c r="T17" s="27" t="str">
        <x:f>IF(Q17="Review",COUNTIFS($Q$4:Q17,"Review"),"")</x:f>
      </x:c>
      <x:c r="U17" s="28" t="b">
        <x:v>0</x:v>
      </x:c>
      <x:c r="V17" s="28" t="b">
        <x:v>0</x:v>
      </x:c>
      <x:c r="W17" s="28" t="b">
        <x:v>0</x:v>
      </x:c>
      <x:c r="X17" s="33" t="n">
        <x:v>0.9279</x:v>
      </x:c>
      <x:c r="Y17" s="27" t="n">
        <x:v>0</x:v>
      </x:c>
      <x:c r="Z17" s="27" t="n">
        <x:v>14</x:v>
      </x:c>
      <x:c r="AA17" s="27" t="str">
        <x:v>sarimax_exogenous</x:v>
      </x:c>
      <x:c r="AB17" s="27" t="str">
        <x:v>sarimax_demand_hgb_mix_ridge_product_yield</x:v>
      </x:c>
      <x:c r="AC17" s="29" t="n">
        <x:v>46022</x:v>
      </x:c>
      <x:c r="AD17" s="34" t="n">
        <x:v>103.25</x:v>
      </x:c>
      <x:c r="AE17" s="31" t="n">
        <x:v>0.0751</x:v>
      </x:c>
      <x:c r="AF17" s="27" t="str">
        <x:v>monitor_only</x:v>
      </x:c>
      <x:c r="AG17" s="27" t="str">
        <x:v>Jan 14</x:v>
      </x:c>
    </x:row>
    <x:row r="18" ht="18" customHeight="1">
      <x:c r="A18" s="29" t="n">
        <x:v>46037</x:v>
      </x:c>
      <x:c r="B18" s="30" t="n">
        <x:v>1059.57</x:v>
      </x:c>
      <x:c r="C18" s="30" t="n">
        <x:v>875.95</x:v>
      </x:c>
      <x:c r="D18" s="30" t="n">
        <x:v>1243.2</x:v>
      </x:c>
      <x:c r="E18" s="30" t="n">
        <x:v>2350</x:v>
      </x:c>
      <x:c r="F18" s="30" t="n">
        <x:v>1062</x:v>
      </x:c>
      <x:c r="G18" s="30" t="n">
        <x:f>B18-F18</x:f>
        <x:v>-2.4300000000000637</x:v>
      </x:c>
      <x:c r="H18" s="31" t="n">
        <x:f>IF(F18=0,"n.a.",G18/F18)</x:f>
        <x:v>-0.0022881355932203988</x:v>
      </x:c>
      <x:c r="I18" s="31" t="n">
        <x:f>IF(E18=0,"n.a.",B18/E18)</x:f>
        <x:v>0.45088085106382975</x:v>
      </x:c>
      <x:c r="J18" s="31" t="n">
        <x:f>IF(E18=0,"n.a.",D18/E18)</x:f>
        <x:v>0.5290212765957447</x:v>
      </x:c>
      <x:c r="K18" s="32" t="n">
        <x:v>116432.98</x:v>
      </x:c>
      <x:c r="L18" s="32" t="n">
        <x:v>94280.26</x:v>
      </x:c>
      <x:c r="M18" s="32" t="n">
        <x:v>138585.69</x:v>
      </x:c>
      <x:c r="N18" s="32" t="n">
        <x:v>108457.18</x:v>
      </x:c>
      <x:c r="O18" s="32" t="n">
        <x:f>K18-N18</x:f>
        <x:v>7975.800000000003</x:v>
      </x:c>
      <x:c r="P18" s="31" t="n">
        <x:f>IF(N18=0,"n.a.",O18/N18)</x:f>
        <x:v>0.07353869978917028</x:v>
      </x:c>
      <x:c r="Q18" s="27" t="str">
        <x:v>No change</x:v>
      </x:c>
      <x:c r="R18" s="27" t="str">
        <x:v>Keep the current plan.</x:v>
      </x:c>
      <x:c r="S18" s="27" t="str">
        <x:v>Maintain the current plan and refresh the forecast as new booking signals arrive.</x:v>
      </x:c>
      <x:c r="T18" s="27" t="str">
        <x:f>IF(Q18="Review",COUNTIFS($Q$4:Q18,"Review"),"")</x:f>
      </x:c>
      <x:c r="U18" s="28" t="b">
        <x:v>0</x:v>
      </x:c>
      <x:c r="V18" s="28" t="b">
        <x:v>0</x:v>
      </x:c>
      <x:c r="W18" s="28" t="b">
        <x:v>0</x:v>
      </x:c>
      <x:c r="X18" s="33" t="n">
        <x:v>0.9743</x:v>
      </x:c>
      <x:c r="Y18" s="27" t="n">
        <x:v>0</x:v>
      </x:c>
      <x:c r="Z18" s="27" t="n">
        <x:v>15</x:v>
      </x:c>
      <x:c r="AA18" s="27" t="str">
        <x:v>sarimax_exogenous</x:v>
      </x:c>
      <x:c r="AB18" s="27" t="str">
        <x:v>sarimax_demand_hgb_mix_ridge_product_yield</x:v>
      </x:c>
      <x:c r="AC18" s="29" t="n">
        <x:v>46022</x:v>
      </x:c>
      <x:c r="AD18" s="34" t="n">
        <x:v>103.25</x:v>
      </x:c>
      <x:c r="AE18" s="31" t="n">
        <x:v>0.0751</x:v>
      </x:c>
      <x:c r="AF18" s="27" t="str">
        <x:v>monitor_only</x:v>
      </x:c>
      <x:c r="AG18" s="27" t="str">
        <x:v>Jan 15</x:v>
      </x:c>
    </x:row>
    <x:row r="19" ht="18" customHeight="1">
      <x:c r="A19" s="29" t="n">
        <x:v>46038</x:v>
      </x:c>
      <x:c r="B19" s="30" t="n">
        <x:v>1264.78</x:v>
      </x:c>
      <x:c r="C19" s="30" t="n">
        <x:v>1081.15</x:v>
      </x:c>
      <x:c r="D19" s="30" t="n">
        <x:v>1448.4</x:v>
      </x:c>
      <x:c r="E19" s="30" t="n">
        <x:v>2350</x:v>
      </x:c>
      <x:c r="F19" s="30" t="n">
        <x:v>1240</x:v>
      </x:c>
      <x:c r="G19" s="30" t="n">
        <x:f>B19-F19</x:f>
        <x:v>24.779999999999973</x:v>
      </x:c>
      <x:c r="H19" s="31" t="n">
        <x:f>IF(F19=0,"n.a.",G19/F19)</x:f>
        <x:v>0.019983870967741915</x:v>
      </x:c>
      <x:c r="I19" s="31" t="n">
        <x:f>IF(E19=0,"n.a.",B19/E19)</x:f>
        <x:v>0.538204255319149</x:v>
      </x:c>
      <x:c r="J19" s="31" t="n">
        <x:f>IF(E19=0,"n.a.",D19/E19)</x:f>
        <x:v>0.6163404255319149</x:v>
      </x:c>
      <x:c r="K19" s="32" t="n">
        <x:v>141717.43</x:v>
      </x:c>
      <x:c r="L19" s="32" t="n">
        <x:v>119564.71</x:v>
      </x:c>
      <x:c r="M19" s="32" t="n">
        <x:v>163870.14</x:v>
      </x:c>
      <x:c r="N19" s="32" t="n">
        <x:v>129032.45</x:v>
      </x:c>
      <x:c r="O19" s="32" t="n">
        <x:f>K19-N19</x:f>
        <x:v>12684.979999999996</x:v>
      </x:c>
      <x:c r="P19" s="31" t="n">
        <x:f>IF(N19=0,"n.a.",O19/N19)</x:f>
        <x:v>0.09830844876618243</x:v>
      </x:c>
      <x:c r="Q19" s="27" t="str">
        <x:v>No change</x:v>
      </x:c>
      <x:c r="R19" s="27" t="str">
        <x:v>Keep the current plan.</x:v>
      </x:c>
      <x:c r="S19" s="27" t="str">
        <x:v>Maintain the current plan and refresh the forecast as new booking signals arrive.</x:v>
      </x:c>
      <x:c r="T19" s="27" t="str">
        <x:f>IF(Q19="Review",COUNTIFS($Q$4:Q19,"Review"),"")</x:f>
      </x:c>
      <x:c r="U19" s="28" t="b">
        <x:v>0</x:v>
      </x:c>
      <x:c r="V19" s="28" t="b">
        <x:v>0</x:v>
      </x:c>
      <x:c r="W19" s="28" t="b">
        <x:v>0</x:v>
      </x:c>
      <x:c r="X19" s="33" t="n">
        <x:v>0.985</x:v>
      </x:c>
      <x:c r="Y19" s="27" t="n">
        <x:v>0</x:v>
      </x:c>
      <x:c r="Z19" s="27" t="n">
        <x:v>16</x:v>
      </x:c>
      <x:c r="AA19" s="27" t="str">
        <x:v>sarimax_exogenous</x:v>
      </x:c>
      <x:c r="AB19" s="27" t="str">
        <x:v>sarimax_demand_hgb_mix_ridge_product_yield</x:v>
      </x:c>
      <x:c r="AC19" s="29" t="n">
        <x:v>46022</x:v>
      </x:c>
      <x:c r="AD19" s="34" t="n">
        <x:v>103.25</x:v>
      </x:c>
      <x:c r="AE19" s="31" t="n">
        <x:v>0.0751</x:v>
      </x:c>
      <x:c r="AF19" s="27" t="str">
        <x:v>monitor_only</x:v>
      </x:c>
      <x:c r="AG19" s="27" t="str">
        <x:v>Jan 16</x:v>
      </x:c>
    </x:row>
    <x:row r="20" ht="18" customHeight="1">
      <x:c r="A20" s="29" t="n">
        <x:v>46039</x:v>
      </x:c>
      <x:c r="B20" s="30" t="n">
        <x:v>1790.5</x:v>
      </x:c>
      <x:c r="C20" s="30" t="n">
        <x:v>1606.88</x:v>
      </x:c>
      <x:c r="D20" s="30" t="n">
        <x:v>1974.13</x:v>
      </x:c>
      <x:c r="E20" s="30" t="n">
        <x:v>2500</x:v>
      </x:c>
      <x:c r="F20" s="30" t="n">
        <x:v>1771</x:v>
      </x:c>
      <x:c r="G20" s="30" t="n">
        <x:f>B20-F20</x:f>
        <x:v>19.5</x:v>
      </x:c>
      <x:c r="H20" s="31" t="n">
        <x:f>IF(F20=0,"n.a.",G20/F20)</x:f>
        <x:v>0.01101072840203275</x:v>
      </x:c>
      <x:c r="I20" s="31" t="n">
        <x:f>IF(E20=0,"n.a.",B20/E20)</x:f>
        <x:v>0.7162</x:v>
      </x:c>
      <x:c r="J20" s="31" t="n">
        <x:f>IF(E20=0,"n.a.",D20/E20)</x:f>
        <x:v>0.789652</x:v>
      </x:c>
      <x:c r="K20" s="32" t="n">
        <x:v>205064.23</x:v>
      </x:c>
      <x:c r="L20" s="32" t="n">
        <x:v>182911.51</x:v>
      </x:c>
      <x:c r="M20" s="32" t="n">
        <x:v>227216.94</x:v>
      </x:c>
      <x:c r="N20" s="32" t="n">
        <x:v>189146.29</x:v>
      </x:c>
      <x:c r="O20" s="32" t="n">
        <x:f>K20-N20</x:f>
        <x:v>15917.940000000002</x:v>
      </x:c>
      <x:c r="P20" s="31" t="n">
        <x:f>IF(N20=0,"n.a.",O20/N20)</x:f>
        <x:v>0.08415676564420059</x:v>
      </x:c>
      <x:c r="Q20" s="27" t="str">
        <x:v>No change</x:v>
      </x:c>
      <x:c r="R20" s="27" t="str">
        <x:v>Keep the current plan.</x:v>
      </x:c>
      <x:c r="S20" s="27" t="str">
        <x:v>Maintain the current plan and refresh the forecast as new booking signals arrive.</x:v>
      </x:c>
      <x:c r="T20" s="27" t="str">
        <x:f>IF(Q20="Review",COUNTIFS($Q$4:Q20,"Review"),"")</x:f>
      </x:c>
      <x:c r="U20" s="28" t="b">
        <x:v>0</x:v>
      </x:c>
      <x:c r="V20" s="28" t="b">
        <x:v>1</x:v>
      </x:c>
      <x:c r="W20" s="28" t="b">
        <x:v>0</x:v>
      </x:c>
      <x:c r="X20" s="33" t="n">
        <x:v>0.9944</x:v>
      </x:c>
      <x:c r="Y20" s="27" t="n">
        <x:v>0</x:v>
      </x:c>
      <x:c r="Z20" s="27" t="n">
        <x:v>17</x:v>
      </x:c>
      <x:c r="AA20" s="27" t="str">
        <x:v>sarimax_exogenous</x:v>
      </x:c>
      <x:c r="AB20" s="27" t="str">
        <x:v>sarimax_demand_hgb_mix_ridge_product_yield</x:v>
      </x:c>
      <x:c r="AC20" s="29" t="n">
        <x:v>46022</x:v>
      </x:c>
      <x:c r="AD20" s="34" t="n">
        <x:v>103.25</x:v>
      </x:c>
      <x:c r="AE20" s="31" t="n">
        <x:v>0.0751</x:v>
      </x:c>
      <x:c r="AF20" s="27" t="str">
        <x:v>monitor_only</x:v>
      </x:c>
      <x:c r="AG20" s="27" t="str">
        <x:v>Jan 17</x:v>
      </x:c>
    </x:row>
    <x:row r="21" ht="18" customHeight="1">
      <x:c r="A21" s="29" t="n">
        <x:v>46040</x:v>
      </x:c>
      <x:c r="B21" s="30" t="n">
        <x:v>1564.07</x:v>
      </x:c>
      <x:c r="C21" s="30" t="n">
        <x:v>1380.45</x:v>
      </x:c>
      <x:c r="D21" s="30" t="n">
        <x:v>1747.7</x:v>
      </x:c>
      <x:c r="E21" s="30" t="n">
        <x:v>2500</x:v>
      </x:c>
      <x:c r="F21" s="30" t="n">
        <x:v>1548</x:v>
      </x:c>
      <x:c r="G21" s="30" t="n">
        <x:f>B21-F21</x:f>
        <x:v>16.069999999999936</x:v>
      </x:c>
      <x:c r="H21" s="31" t="n">
        <x:f>IF(F21=0,"n.a.",G21/F21)</x:f>
        <x:v>0.010381136950904351</x:v>
      </x:c>
      <x:c r="I21" s="31" t="n">
        <x:f>IF(E21=0,"n.a.",B21/E21)</x:f>
        <x:v>0.625628</x:v>
      </x:c>
      <x:c r="J21" s="31" t="n">
        <x:f>IF(E21=0,"n.a.",D21/E21)</x:f>
        <x:v>0.69908</x:v>
      </x:c>
      <x:c r="K21" s="32" t="n">
        <x:v>177475.08</x:v>
      </x:c>
      <x:c r="L21" s="32" t="n">
        <x:v>155322.37</x:v>
      </x:c>
      <x:c r="M21" s="32" t="n">
        <x:v>199627.8</x:v>
      </x:c>
      <x:c r="N21" s="32" t="n">
        <x:v>163982.74</x:v>
      </x:c>
      <x:c r="O21" s="32" t="n">
        <x:f>K21-N21</x:f>
        <x:v>13492.339999999997</x:v>
      </x:c>
      <x:c r="P21" s="31" t="n">
        <x:f>IF(N21=0,"n.a.",O21/N21)</x:f>
        <x:v>0.08227902521936148</x:v>
      </x:c>
      <x:c r="Q21" s="27" t="str">
        <x:v>No change</x:v>
      </x:c>
      <x:c r="R21" s="27" t="str">
        <x:v>Keep the current plan.</x:v>
      </x:c>
      <x:c r="S21" s="27" t="str">
        <x:v>Maintain the current plan and refresh the forecast as new booking signals arrive.</x:v>
      </x:c>
      <x:c r="T21" s="27" t="str">
        <x:f>IF(Q21="Review",COUNTIFS($Q$4:Q21,"Review"),"")</x:f>
      </x:c>
      <x:c r="U21" s="28" t="b">
        <x:v>0</x:v>
      </x:c>
      <x:c r="V21" s="28" t="b">
        <x:v>1</x:v>
      </x:c>
      <x:c r="W21" s="28" t="b">
        <x:v>0</x:v>
      </x:c>
      <x:c r="X21" s="33" t="n">
        <x:v>0.9863</x:v>
      </x:c>
      <x:c r="Y21" s="27" t="n">
        <x:v>0</x:v>
      </x:c>
      <x:c r="Z21" s="27" t="n">
        <x:v>18</x:v>
      </x:c>
      <x:c r="AA21" s="27" t="str">
        <x:v>sarimax_exogenous</x:v>
      </x:c>
      <x:c r="AB21" s="27" t="str">
        <x:v>sarimax_demand_hgb_mix_ridge_product_yield</x:v>
      </x:c>
      <x:c r="AC21" s="29" t="n">
        <x:v>46022</x:v>
      </x:c>
      <x:c r="AD21" s="34" t="n">
        <x:v>103.25</x:v>
      </x:c>
      <x:c r="AE21" s="31" t="n">
        <x:v>0.0751</x:v>
      </x:c>
      <x:c r="AF21" s="27" t="str">
        <x:v>monitor_only</x:v>
      </x:c>
      <x:c r="AG21" s="27" t="str">
        <x:v>Jan 18</x:v>
      </x:c>
    </x:row>
    <x:row r="22" ht="18" customHeight="1">
      <x:c r="A22" s="29" t="n">
        <x:v>46041</x:v>
      </x:c>
      <x:c r="B22" s="30" t="n">
        <x:v>1074.92</x:v>
      </x:c>
      <x:c r="C22" s="30" t="n">
        <x:v>891.3</x:v>
      </x:c>
      <x:c r="D22" s="30" t="n">
        <x:v>1258.55</x:v>
      </x:c>
      <x:c r="E22" s="30" t="n">
        <x:v>2500</x:v>
      </x:c>
      <x:c r="F22" s="30" t="n">
        <x:v>1183</x:v>
      </x:c>
      <x:c r="G22" s="30" t="n">
        <x:f>B22-F22</x:f>
        <x:v>-108.07999999999993</x:v>
      </x:c>
      <x:c r="H22" s="31" t="n">
        <x:f>IF(F22=0,"n.a.",G22/F22)</x:f>
        <x:v>-0.09136094674556207</x:v>
      </x:c>
      <x:c r="I22" s="31" t="n">
        <x:f>IF(E22=0,"n.a.",B22/E22)</x:f>
        <x:v>0.429968</x:v>
      </x:c>
      <x:c r="J22" s="31" t="n">
        <x:f>IF(E22=0,"n.a.",D22/E22)</x:f>
        <x:v>0.50342</x:v>
      </x:c>
      <x:c r="K22" s="32" t="n">
        <x:v>138177.36</x:v>
      </x:c>
      <x:c r="L22" s="32" t="n">
        <x:v>116024.65</x:v>
      </x:c>
      <x:c r="M22" s="32" t="n">
        <x:v>160330.08</x:v>
      </x:c>
      <x:c r="N22" s="32" t="n">
        <x:v>142430.3</x:v>
      </x:c>
      <x:c r="O22" s="32" t="n">
        <x:f>K22-N22</x:f>
        <x:v>-4252.940000000002</x:v>
      </x:c>
      <x:c r="P22" s="31" t="n">
        <x:f>IF(N22=0,"n.a.",O22/N22)</x:f>
        <x:v>-0.02985979809071527</x:v>
      </x:c>
      <x:c r="Q22" s="27" t="str">
        <x:v>Review</x:v>
      </x:c>
      <x:c r="R22" s="27" t="str">
        <x:v>Monitor revenue: forecast is 3.0% below plan, but the target remains within the forecast range.</x:v>
      </x:c>
      <x:c r="S22" s="27" t="str">
        <x:v>Maintain the plan; the revenue point forecast is below target, but uncertainty still includes the target.</x:v>
      </x:c>
      <x:c r="T22" s="27" t="n">
        <x:f>IF(Q22="Review",COUNTIFS($Q$4:Q22,"Review"),"")</x:f>
        <x:v>2</x:v>
      </x:c>
      <x:c r="U22" s="28" t="b">
        <x:v>1</x:v>
      </x:c>
      <x:c r="V22" s="28" t="b">
        <x:v>0</x:v>
      </x:c>
      <x:c r="W22" s="28" t="b">
        <x:v>0</x:v>
      </x:c>
      <x:c r="X22" s="33" t="n">
        <x:v>1.1206</x:v>
      </x:c>
      <x:c r="Y22" s="27" t="n">
        <x:v>0</x:v>
      </x:c>
      <x:c r="Z22" s="27" t="n">
        <x:v>19</x:v>
      </x:c>
      <x:c r="AA22" s="27" t="str">
        <x:v>sarimax_exogenous</x:v>
      </x:c>
      <x:c r="AB22" s="27" t="str">
        <x:v>sarimax_demand_hgb_mix_ridge_product_yield</x:v>
      </x:c>
      <x:c r="AC22" s="29" t="n">
        <x:v>46022</x:v>
      </x:c>
      <x:c r="AD22" s="34" t="n">
        <x:v>103.25</x:v>
      </x:c>
      <x:c r="AE22" s="31" t="n">
        <x:v>0.0751</x:v>
      </x:c>
      <x:c r="AF22" s="27" t="str">
        <x:v>monitor_only</x:v>
      </x:c>
      <x:c r="AG22" s="27" t="str">
        <x:v>Jan 19</x:v>
      </x:c>
    </x:row>
    <x:row r="23" ht="18" customHeight="1">
      <x:c r="A23" s="29" t="n">
        <x:v>46042</x:v>
      </x:c>
      <x:c r="B23" s="30" t="n">
        <x:v>959.2</x:v>
      </x:c>
      <x:c r="C23" s="30" t="n">
        <x:v>775.58</x:v>
      </x:c>
      <x:c r="D23" s="30" t="n">
        <x:v>1142.83</x:v>
      </x:c>
      <x:c r="E23" s="30" t="n">
        <x:v>2350</x:v>
      </x:c>
      <x:c r="F23" s="30" t="n">
        <x:v>989</x:v>
      </x:c>
      <x:c r="G23" s="30" t="n">
        <x:f>B23-F23</x:f>
        <x:v>-29.799999999999955</x:v>
      </x:c>
      <x:c r="H23" s="31" t="n">
        <x:f>IF(F23=0,"n.a.",G23/F23)</x:f>
        <x:v>-0.030131445904954455</x:v>
      </x:c>
      <x:c r="I23" s="31" t="n">
        <x:f>IF(E23=0,"n.a.",B23/E23)</x:f>
        <x:v>0.40817021276595744</x:v>
      </x:c>
      <x:c r="J23" s="31" t="n">
        <x:f>IF(E23=0,"n.a.",D23/E23)</x:f>
        <x:v>0.4863106382978723</x:v>
      </x:c>
      <x:c r="K23" s="32" t="n">
        <x:v>100695.61</x:v>
      </x:c>
      <x:c r="L23" s="32" t="n">
        <x:v>78542.9</x:v>
      </x:c>
      <x:c r="M23" s="32" t="n">
        <x:v>122848.33</x:v>
      </x:c>
      <x:c r="N23" s="32" t="n">
        <x:v>96565.11</x:v>
      </x:c>
      <x:c r="O23" s="32" t="n">
        <x:f>K23-N23</x:f>
        <x:v>4130.5</x:v>
      </x:c>
      <x:c r="P23" s="31" t="n">
        <x:f>IF(N23=0,"n.a.",O23/N23)</x:f>
        <x:v>0.042774248380186175</x:v>
      </x:c>
      <x:c r="Q23" s="27" t="str">
        <x:v>No change</x:v>
      </x:c>
      <x:c r="R23" s="27" t="str">
        <x:v>Keep the current plan.</x:v>
      </x:c>
      <x:c r="S23" s="27" t="str">
        <x:v>Maintain the current plan and refresh the forecast as new booking signals arrive.</x:v>
      </x:c>
      <x:c r="T23" s="27" t="str">
        <x:f>IF(Q23="Review",COUNTIFS($Q$4:Q23,"Review"),"")</x:f>
      </x:c>
      <x:c r="U23" s="28" t="b">
        <x:v>0</x:v>
      </x:c>
      <x:c r="V23" s="28" t="b">
        <x:v>0</x:v>
      </x:c>
      <x:c r="W23" s="28" t="b">
        <x:v>0</x:v>
      </x:c>
      <x:c r="X23" s="33" t="n">
        <x:v>0.9315</x:v>
      </x:c>
      <x:c r="Y23" s="27" t="n">
        <x:v>0</x:v>
      </x:c>
      <x:c r="Z23" s="27" t="n">
        <x:v>20</x:v>
      </x:c>
      <x:c r="AA23" s="27" t="str">
        <x:v>sarimax_exogenous</x:v>
      </x:c>
      <x:c r="AB23" s="27" t="str">
        <x:v>sarimax_demand_hgb_mix_ridge_product_yield</x:v>
      </x:c>
      <x:c r="AC23" s="29" t="n">
        <x:v>46022</x:v>
      </x:c>
      <x:c r="AD23" s="34" t="n">
        <x:v>103.25</x:v>
      </x:c>
      <x:c r="AE23" s="31" t="n">
        <x:v>0.0751</x:v>
      </x:c>
      <x:c r="AF23" s="27" t="str">
        <x:v>monitor_only</x:v>
      </x:c>
      <x:c r="AG23" s="27" t="str">
        <x:v>Jan 20</x:v>
      </x:c>
    </x:row>
    <x:row r="24" ht="18" customHeight="1">
      <x:c r="A24" s="29" t="n">
        <x:v>46043</x:v>
      </x:c>
      <x:c r="B24" s="30" t="n">
        <x:v>964.35</x:v>
      </x:c>
      <x:c r="C24" s="30" t="n">
        <x:v>780.73</x:v>
      </x:c>
      <x:c r="D24" s="30" t="n">
        <x:v>1147.98</x:v>
      </x:c>
      <x:c r="E24" s="30" t="n">
        <x:v>2350</x:v>
      </x:c>
      <x:c r="F24" s="30" t="n">
        <x:v>976</x:v>
      </x:c>
      <x:c r="G24" s="30" t="n">
        <x:f>B24-F24</x:f>
        <x:v>-11.649999999999977</x:v>
      </x:c>
      <x:c r="H24" s="31" t="n">
        <x:f>IF(F24=0,"n.a.",G24/F24)</x:f>
        <x:v>-0.011936475409836042</x:v>
      </x:c>
      <x:c r="I24" s="31" t="n">
        <x:f>IF(E24=0,"n.a.",B24/E24)</x:f>
        <x:v>0.4103617021276596</x:v>
      </x:c>
      <x:c r="J24" s="31" t="n">
        <x:f>IF(E24=0,"n.a.",D24/E24)</x:f>
        <x:v>0.48850212765957446</x:v>
      </x:c>
      <x:c r="K24" s="32" t="n">
        <x:v>104755.54</x:v>
      </x:c>
      <x:c r="L24" s="32" t="n">
        <x:v>82602.82</x:v>
      </x:c>
      <x:c r="M24" s="32" t="n">
        <x:v>126908.25</x:v>
      </x:c>
      <x:c r="N24" s="32" t="n">
        <x:v>98733.2</x:v>
      </x:c>
      <x:c r="O24" s="32" t="n">
        <x:f>K24-N24</x:f>
        <x:v>6022.3399999999965</x:v>
      </x:c>
      <x:c r="P24" s="31" t="n">
        <x:f>IF(N24=0,"n.a.",O24/N24)</x:f>
        <x:v>0.0609960985767705</x:v>
      </x:c>
      <x:c r="Q24" s="27" t="str">
        <x:v>No change</x:v>
      </x:c>
      <x:c r="R24" s="27" t="str">
        <x:v>Keep the current plan.</x:v>
      </x:c>
      <x:c r="S24" s="27" t="str">
        <x:v>Maintain the current plan and refresh the forecast as new booking signals arrive.</x:v>
      </x:c>
      <x:c r="T24" s="27" t="str">
        <x:f>IF(Q24="Review",COUNTIFS($Q$4:Q24,"Review"),"")</x:f>
      </x:c>
      <x:c r="U24" s="28" t="b">
        <x:v>0</x:v>
      </x:c>
      <x:c r="V24" s="28" t="b">
        <x:v>0</x:v>
      </x:c>
      <x:c r="W24" s="28" t="b">
        <x:v>0</x:v>
      </x:c>
      <x:c r="X24" s="33" t="n">
        <x:v>0.9651</x:v>
      </x:c>
      <x:c r="Y24" s="27" t="n">
        <x:v>0</x:v>
      </x:c>
      <x:c r="Z24" s="27" t="n">
        <x:v>21</x:v>
      </x:c>
      <x:c r="AA24" s="27" t="str">
        <x:v>sarimax_exogenous</x:v>
      </x:c>
      <x:c r="AB24" s="27" t="str">
        <x:v>sarimax_demand_hgb_mix_ridge_product_yield</x:v>
      </x:c>
      <x:c r="AC24" s="29" t="n">
        <x:v>46022</x:v>
      </x:c>
      <x:c r="AD24" s="34" t="n">
        <x:v>103.25</x:v>
      </x:c>
      <x:c r="AE24" s="31" t="n">
        <x:v>0.0751</x:v>
      </x:c>
      <x:c r="AF24" s="27" t="str">
        <x:v>monitor_only</x:v>
      </x:c>
      <x:c r="AG24" s="27" t="str">
        <x:v>Jan 21</x:v>
      </x:c>
    </x:row>
    <x:row r="25" ht="18" customHeight="1">
      <x:c r="A25" s="29" t="n">
        <x:v>46044</x:v>
      </x:c>
      <x:c r="B25" s="30" t="n">
        <x:v>1076.91</x:v>
      </x:c>
      <x:c r="C25" s="30" t="n">
        <x:v>908.2</x:v>
      </x:c>
      <x:c r="D25" s="30" t="n">
        <x:v>1245.62</x:v>
      </x:c>
      <x:c r="E25" s="30" t="n">
        <x:v>2350</x:v>
      </x:c>
      <x:c r="F25" s="30" t="n">
        <x:v>1085</x:v>
      </x:c>
      <x:c r="G25" s="30" t="n">
        <x:f>B25-F25</x:f>
        <x:v>-8.089999999999918</x:v>
      </x:c>
      <x:c r="H25" s="31" t="n">
        <x:f>IF(F25=0,"n.a.",G25/F25)</x:f>
        <x:v>-0.007456221198156606</x:v>
      </x:c>
      <x:c r="I25" s="31" t="n">
        <x:f>IF(E25=0,"n.a.",B25/E25)</x:f>
        <x:v>0.45825957446808513</x:v>
      </x:c>
      <x:c r="J25" s="31" t="n">
        <x:f>IF(E25=0,"n.a.",D25/E25)</x:f>
        <x:v>0.5300510638297872</x:v>
      </x:c>
      <x:c r="K25" s="32" t="n">
        <x:v>115912.87</x:v>
      </x:c>
      <x:c r="L25" s="32" t="n">
        <x:v>96440.89</x:v>
      </x:c>
      <x:c r="M25" s="32" t="n">
        <x:v>135384.84</x:v>
      </x:c>
      <x:c r="N25" s="32" t="n">
        <x:v>108736.2</x:v>
      </x:c>
      <x:c r="O25" s="32" t="n">
        <x:f>K25-N25</x:f>
        <x:v>7176.669999999998</x:v>
      </x:c>
      <x:c r="P25" s="31" t="n">
        <x:f>IF(N25=0,"n.a.",O25/N25)</x:f>
        <x:v>0.06600074308280038</x:v>
      </x:c>
      <x:c r="Q25" s="27" t="str">
        <x:v>No change</x:v>
      </x:c>
      <x:c r="R25" s="27" t="str">
        <x:v>Keep the current plan.</x:v>
      </x:c>
      <x:c r="S25" s="27" t="str">
        <x:v>Maintain the current plan and refresh the forecast as new booking signals arrive.</x:v>
      </x:c>
      <x:c r="T25" s="27" t="str">
        <x:f>IF(Q25="Review",COUNTIFS($Q$4:Q25,"Review"),"")</x:f>
      </x:c>
      <x:c r="U25" s="28" t="b">
        <x:v>0</x:v>
      </x:c>
      <x:c r="V25" s="28" t="b">
        <x:v>0</x:v>
      </x:c>
      <x:c r="W25" s="28" t="b">
        <x:v>0</x:v>
      </x:c>
      <x:c r="X25" s="33" t="n">
        <x:v>0.9561</x:v>
      </x:c>
      <x:c r="Y25" s="27" t="n">
        <x:v>0</x:v>
      </x:c>
      <x:c r="Z25" s="27" t="n">
        <x:v>22</x:v>
      </x:c>
      <x:c r="AA25" s="27" t="str">
        <x:v>sarimax_exogenous</x:v>
      </x:c>
      <x:c r="AB25" s="27" t="str">
        <x:v>sarimax_demand_hgb_mix_ridge_product_yield</x:v>
      </x:c>
      <x:c r="AC25" s="29" t="n">
        <x:v>46022</x:v>
      </x:c>
      <x:c r="AD25" s="34" t="n">
        <x:v>103.25</x:v>
      </x:c>
      <x:c r="AE25" s="31" t="n">
        <x:v>0.0751</x:v>
      </x:c>
      <x:c r="AF25" s="27" t="str">
        <x:v>monitor_only</x:v>
      </x:c>
      <x:c r="AG25" s="27" t="str">
        <x:v>Jan 22</x:v>
      </x:c>
    </x:row>
    <x:row r="26" ht="18" customHeight="1">
      <x:c r="A26" s="29" t="n">
        <x:v>46045</x:v>
      </x:c>
      <x:c r="B26" s="30" t="n">
        <x:v>1288.77</x:v>
      </x:c>
      <x:c r="C26" s="30" t="n">
        <x:v>1120.06</x:v>
      </x:c>
      <x:c r="D26" s="30" t="n">
        <x:v>1457.48</x:v>
      </x:c>
      <x:c r="E26" s="30" t="n">
        <x:v>2350</x:v>
      </x:c>
      <x:c r="F26" s="30" t="n">
        <x:v>1277</x:v>
      </x:c>
      <x:c r="G26" s="30" t="n">
        <x:f>B26-F26</x:f>
        <x:v>11.769999999999982</x:v>
      </x:c>
      <x:c r="H26" s="31" t="n">
        <x:f>IF(F26=0,"n.a.",G26/F26)</x:f>
        <x:v>0.009216914643696148</x:v>
      </x:c>
      <x:c r="I26" s="31" t="n">
        <x:f>IF(E26=0,"n.a.",B26/E26)</x:f>
        <x:v>0.5484127659574468</x:v>
      </x:c>
      <x:c r="J26" s="31" t="n">
        <x:f>IF(E26=0,"n.a.",D26/E26)</x:f>
        <x:v>0.6202042553191489</x:v>
      </x:c>
      <x:c r="K26" s="32" t="n">
        <x:v>139935.05</x:v>
      </x:c>
      <x:c r="L26" s="32" t="n">
        <x:v>120463.07</x:v>
      </x:c>
      <x:c r="M26" s="32" t="n">
        <x:v>159407.02</x:v>
      </x:c>
      <x:c r="N26" s="32" t="n">
        <x:v>129456</x:v>
      </x:c>
      <x:c r="O26" s="32" t="n">
        <x:f>K26-N26</x:f>
        <x:v>10479.049999999988</x:v>
      </x:c>
      <x:c r="P26" s="31" t="n">
        <x:f>IF(N26=0,"n.a.",O26/N26)</x:f>
        <x:v>0.08094680818193045</x:v>
      </x:c>
      <x:c r="Q26" s="27" t="str">
        <x:v>No change</x:v>
      </x:c>
      <x:c r="R26" s="27" t="str">
        <x:v>Keep the current plan.</x:v>
      </x:c>
      <x:c r="S26" s="27" t="str">
        <x:v>Maintain the current plan and refresh the forecast as new booking signals arrive.</x:v>
      </x:c>
      <x:c r="T26" s="27" t="str">
        <x:f>IF(Q26="Review",COUNTIFS($Q$4:Q26,"Review"),"")</x:f>
      </x:c>
      <x:c r="U26" s="28" t="b">
        <x:v>0</x:v>
      </x:c>
      <x:c r="V26" s="28" t="b">
        <x:v>0</x:v>
      </x:c>
      <x:c r="W26" s="28" t="b">
        <x:v>0</x:v>
      </x:c>
      <x:c r="X26" s="33" t="n">
        <x:v>0.9596</x:v>
      </x:c>
      <x:c r="Y26" s="27" t="n">
        <x:v>0</x:v>
      </x:c>
      <x:c r="Z26" s="27" t="n">
        <x:v>23</x:v>
      </x:c>
      <x:c r="AA26" s="27" t="str">
        <x:v>sarimax_exogenous</x:v>
      </x:c>
      <x:c r="AB26" s="27" t="str">
        <x:v>sarimax_demand_hgb_mix_ridge_product_yield</x:v>
      </x:c>
      <x:c r="AC26" s="29" t="n">
        <x:v>46022</x:v>
      </x:c>
      <x:c r="AD26" s="34" t="n">
        <x:v>103.25</x:v>
      </x:c>
      <x:c r="AE26" s="31" t="n">
        <x:v>0.0751</x:v>
      </x:c>
      <x:c r="AF26" s="27" t="str">
        <x:v>monitor_only</x:v>
      </x:c>
      <x:c r="AG26" s="27" t="str">
        <x:v>Jan 23</x:v>
      </x:c>
    </x:row>
    <x:row r="27" ht="18" customHeight="1">
      <x:c r="A27" s="29" t="n">
        <x:v>46046</x:v>
      </x:c>
      <x:c r="B27" s="30" t="n">
        <x:v>1796.35</x:v>
      </x:c>
      <x:c r="C27" s="30" t="n">
        <x:v>1627.64</x:v>
      </x:c>
      <x:c r="D27" s="30" t="n">
        <x:v>1965.06</x:v>
      </x:c>
      <x:c r="E27" s="30" t="n">
        <x:v>2500</x:v>
      </x:c>
      <x:c r="F27" s="30" t="n">
        <x:v>1781</x:v>
      </x:c>
      <x:c r="G27" s="30" t="n">
        <x:f>B27-F27</x:f>
        <x:v>15.349999999999909</x:v>
      </x:c>
      <x:c r="H27" s="31" t="n">
        <x:f>IF(F27=0,"n.a.",G27/F27)</x:f>
        <x:v>0.008618753509264407</x:v>
      </x:c>
      <x:c r="I27" s="31" t="n">
        <x:f>IF(E27=0,"n.a.",B27/E27)</x:f>
        <x:v>0.71854</x:v>
      </x:c>
      <x:c r="J27" s="31" t="n">
        <x:f>IF(E27=0,"n.a.",D27/E27)</x:f>
        <x:v>0.786024</x:v>
      </x:c>
      <x:c r="K27" s="32" t="n">
        <x:v>204695.9</x:v>
      </x:c>
      <x:c r="L27" s="32" t="n">
        <x:v>185223.93</x:v>
      </x:c>
      <x:c r="M27" s="32" t="n">
        <x:v>224167.88</x:v>
      </x:c>
      <x:c r="N27" s="32" t="n">
        <x:v>189181.37</x:v>
      </x:c>
      <x:c r="O27" s="32" t="n">
        <x:f>K27-N27</x:f>
        <x:v>15514.529999999999</x:v>
      </x:c>
      <x:c r="P27" s="31" t="n">
        <x:f>IF(N27=0,"n.a.",O27/N27)</x:f>
        <x:v>0.08200876227928786</x:v>
      </x:c>
      <x:c r="Q27" s="27" t="str">
        <x:v>No change</x:v>
      </x:c>
      <x:c r="R27" s="27" t="str">
        <x:v>Keep the current plan.</x:v>
      </x:c>
      <x:c r="S27" s="27" t="str">
        <x:v>Maintain the current plan and refresh the forecast as new booking signals arrive.</x:v>
      </x:c>
      <x:c r="T27" s="27" t="str">
        <x:f>IF(Q27="Review",COUNTIFS($Q$4:Q27,"Review"),"")</x:f>
      </x:c>
      <x:c r="U27" s="28" t="b">
        <x:v>0</x:v>
      </x:c>
      <x:c r="V27" s="28" t="b">
        <x:v>1</x:v>
      </x:c>
      <x:c r="W27" s="28" t="b">
        <x:v>0</x:v>
      </x:c>
      <x:c r="X27" s="33" t="n">
        <x:v>0.989</x:v>
      </x:c>
      <x:c r="Y27" s="27" t="n">
        <x:v>0</x:v>
      </x:c>
      <x:c r="Z27" s="27" t="n">
        <x:v>24</x:v>
      </x:c>
      <x:c r="AA27" s="27" t="str">
        <x:v>sarimax_exogenous</x:v>
      </x:c>
      <x:c r="AB27" s="27" t="str">
        <x:v>sarimax_demand_hgb_mix_ridge_product_yield</x:v>
      </x:c>
      <x:c r="AC27" s="29" t="n">
        <x:v>46022</x:v>
      </x:c>
      <x:c r="AD27" s="34" t="n">
        <x:v>103.25</x:v>
      </x:c>
      <x:c r="AE27" s="31" t="n">
        <x:v>0.0751</x:v>
      </x:c>
      <x:c r="AF27" s="27" t="str">
        <x:v>monitor_only</x:v>
      </x:c>
      <x:c r="AG27" s="27" t="str">
        <x:v>Jan 24</x:v>
      </x:c>
    </x:row>
    <x:row r="28" ht="18" customHeight="1">
      <x:c r="A28" s="29" t="n">
        <x:v>46047</x:v>
      </x:c>
      <x:c r="B28" s="30" t="n">
        <x:v>1551.97</x:v>
      </x:c>
      <x:c r="C28" s="30" t="n">
        <x:v>1383.26</x:v>
      </x:c>
      <x:c r="D28" s="30" t="n">
        <x:v>1720.68</x:v>
      </x:c>
      <x:c r="E28" s="30" t="n">
        <x:v>2500</x:v>
      </x:c>
      <x:c r="F28" s="30" t="n">
        <x:v>1525</x:v>
      </x:c>
      <x:c r="G28" s="30" t="n">
        <x:f>B28-F28</x:f>
        <x:v>26.970000000000027</x:v>
      </x:c>
      <x:c r="H28" s="31" t="n">
        <x:f>IF(F28=0,"n.a.",G28/F28)</x:f>
        <x:v>0.017685245901639363</x:v>
      </x:c>
      <x:c r="I28" s="31" t="n">
        <x:f>IF(E28=0,"n.a.",B28/E28)</x:f>
        <x:v>0.620788</x:v>
      </x:c>
      <x:c r="J28" s="31" t="n">
        <x:f>IF(E28=0,"n.a.",D28/E28)</x:f>
        <x:v>0.688272</x:v>
      </x:c>
      <x:c r="K28" s="32" t="n">
        <x:v>178623.97</x:v>
      </x:c>
      <x:c r="L28" s="32" t="n">
        <x:v>159152</x:v>
      </x:c>
      <x:c r="M28" s="32" t="n">
        <x:v>198095.95</x:v>
      </x:c>
      <x:c r="N28" s="32" t="n">
        <x:v>163839.37</x:v>
      </x:c>
      <x:c r="O28" s="32" t="n">
        <x:f>K28-N28</x:f>
        <x:v>14784.600000000006</x:v>
      </x:c>
      <x:c r="P28" s="31" t="n">
        <x:f>IF(N28=0,"n.a.",O28/N28)</x:f>
        <x:v>0.09023838409534904</x:v>
      </x:c>
      <x:c r="Q28" s="27" t="str">
        <x:v>No change</x:v>
      </x:c>
      <x:c r="R28" s="27" t="str">
        <x:v>Keep the current plan.</x:v>
      </x:c>
      <x:c r="S28" s="27" t="str">
        <x:v>Maintain the current plan and refresh the forecast as new booking signals arrive.</x:v>
      </x:c>
      <x:c r="T28" s="27" t="str">
        <x:f>IF(Q28="Review",COUNTIFS($Q$4:Q28,"Review"),"")</x:f>
      </x:c>
      <x:c r="U28" s="28" t="b">
        <x:v>0</x:v>
      </x:c>
      <x:c r="V28" s="28" t="b">
        <x:v>1</x:v>
      </x:c>
      <x:c r="W28" s="28" t="b">
        <x:v>0</x:v>
      </x:c>
      <x:c r="X28" s="33" t="n">
        <x:v>1.0003</x:v>
      </x:c>
      <x:c r="Y28" s="27" t="n">
        <x:v>0</x:v>
      </x:c>
      <x:c r="Z28" s="27" t="n">
        <x:v>25</x:v>
      </x:c>
      <x:c r="AA28" s="27" t="str">
        <x:v>sarimax_exogenous</x:v>
      </x:c>
      <x:c r="AB28" s="27" t="str">
        <x:v>sarimax_demand_hgb_mix_ridge_product_yield</x:v>
      </x:c>
      <x:c r="AC28" s="29" t="n">
        <x:v>46022</x:v>
      </x:c>
      <x:c r="AD28" s="34" t="n">
        <x:v>103.25</x:v>
      </x:c>
      <x:c r="AE28" s="31" t="n">
        <x:v>0.0751</x:v>
      </x:c>
      <x:c r="AF28" s="27" t="str">
        <x:v>monitor_only</x:v>
      </x:c>
      <x:c r="AG28" s="27" t="str">
        <x:v>Jan 25</x:v>
      </x:c>
    </x:row>
    <x:row r="29" ht="18" customHeight="1">
      <x:c r="A29" s="29" t="n">
        <x:v>46048</x:v>
      </x:c>
      <x:c r="B29" s="30" t="n">
        <x:v>1010.37</x:v>
      </x:c>
      <x:c r="C29" s="30" t="n">
        <x:v>841.66</x:v>
      </x:c>
      <x:c r="D29" s="30" t="n">
        <x:v>1179.08</x:v>
      </x:c>
      <x:c r="E29" s="30" t="n">
        <x:v>2350</x:v>
      </x:c>
      <x:c r="F29" s="30" t="n">
        <x:v>1036</x:v>
      </x:c>
      <x:c r="G29" s="30" t="n">
        <x:f>B29-F29</x:f>
        <x:v>-25.629999999999995</x:v>
      </x:c>
      <x:c r="H29" s="31" t="n">
        <x:f>IF(F29=0,"n.a.",G29/F29)</x:f>
        <x:v>-0.024739382239382234</x:v>
      </x:c>
      <x:c r="I29" s="31" t="n">
        <x:f>IF(E29=0,"n.a.",B29/E29)</x:f>
        <x:v>0.42994468085106385</x:v>
      </x:c>
      <x:c r="J29" s="31" t="n">
        <x:f>IF(E29=0,"n.a.",D29/E29)</x:f>
        <x:v>0.501736170212766</x:v>
      </x:c>
      <x:c r="K29" s="32" t="n">
        <x:v>105965.74</x:v>
      </x:c>
      <x:c r="L29" s="32" t="n">
        <x:v>86493.76</x:v>
      </x:c>
      <x:c r="M29" s="32" t="n">
        <x:v>125437.71</x:v>
      </x:c>
      <x:c r="N29" s="32" t="n">
        <x:v>101545.08</x:v>
      </x:c>
      <x:c r="O29" s="32" t="n">
        <x:f>K29-N29</x:f>
        <x:v>4420.6600000000035</x:v>
      </x:c>
      <x:c r="P29" s="31" t="n">
        <x:f>IF(N29=0,"n.a.",O29/N29)</x:f>
        <x:v>0.04353396540728515</x:v>
      </x:c>
      <x:c r="Q29" s="27" t="str">
        <x:v>No change</x:v>
      </x:c>
      <x:c r="R29" s="27" t="str">
        <x:v>Keep the current plan.</x:v>
      </x:c>
      <x:c r="S29" s="27" t="str">
        <x:v>Maintain the current plan and refresh the forecast as new booking signals arrive.</x:v>
      </x:c>
      <x:c r="T29" s="27" t="str">
        <x:f>IF(Q29="Review",COUNTIFS($Q$4:Q29,"Review"),"")</x:f>
      </x:c>
      <x:c r="U29" s="28" t="b">
        <x:v>0</x:v>
      </x:c>
      <x:c r="V29" s="28" t="b">
        <x:v>0</x:v>
      </x:c>
      <x:c r="W29" s="28" t="b">
        <x:v>0</x:v>
      </x:c>
      <x:c r="X29" s="33" t="n">
        <x:v>0.9351</x:v>
      </x:c>
      <x:c r="Y29" s="27" t="n">
        <x:v>0</x:v>
      </x:c>
      <x:c r="Z29" s="27" t="n">
        <x:v>26</x:v>
      </x:c>
      <x:c r="AA29" s="27" t="str">
        <x:v>sarimax_exogenous</x:v>
      </x:c>
      <x:c r="AB29" s="27" t="str">
        <x:v>sarimax_demand_hgb_mix_ridge_product_yield</x:v>
      </x:c>
      <x:c r="AC29" s="29" t="n">
        <x:v>46022</x:v>
      </x:c>
      <x:c r="AD29" s="34" t="n">
        <x:v>103.25</x:v>
      </x:c>
      <x:c r="AE29" s="31" t="n">
        <x:v>0.0751</x:v>
      </x:c>
      <x:c r="AF29" s="27" t="str">
        <x:v>monitor_only</x:v>
      </x:c>
      <x:c r="AG29" s="27" t="str">
        <x:v>Jan 26</x:v>
      </x:c>
    </x:row>
    <x:row r="30" ht="18" customHeight="1">
      <x:c r="A30" s="29" t="n">
        <x:v>46049</x:v>
      </x:c>
      <x:c r="B30" s="30" t="n">
        <x:v>914.01</x:v>
      </x:c>
      <x:c r="C30" s="30" t="n">
        <x:v>745.3</x:v>
      </x:c>
      <x:c r="D30" s="30" t="n">
        <x:v>1082.72</x:v>
      </x:c>
      <x:c r="E30" s="30" t="n">
        <x:v>2350</x:v>
      </x:c>
      <x:c r="F30" s="30" t="n">
        <x:v>934</x:v>
      </x:c>
      <x:c r="G30" s="30" t="n">
        <x:f>B30-F30</x:f>
        <x:v>-19.99000000000001</x:v>
      </x:c>
      <x:c r="H30" s="31" t="n">
        <x:f>IF(F30=0,"n.a.",G30/F30)</x:f>
        <x:v>-0.02140256959314776</x:v>
      </x:c>
      <x:c r="I30" s="31" t="n">
        <x:f>IF(E30=0,"n.a.",B30/E30)</x:f>
        <x:v>0.3889404255319149</x:v>
      </x:c>
      <x:c r="J30" s="31" t="n">
        <x:f>IF(E30=0,"n.a.",D30/E30)</x:f>
        <x:v>0.46073191489361703</x:v>
      </x:c>
      <x:c r="K30" s="32" t="n">
        <x:v>101608.23</x:v>
      </x:c>
      <x:c r="L30" s="32" t="n">
        <x:v>82136.25</x:v>
      </x:c>
      <x:c r="M30" s="32" t="n">
        <x:v>121080.21</x:v>
      </x:c>
      <x:c r="N30" s="32" t="n">
        <x:v>96109.6</x:v>
      </x:c>
      <x:c r="O30" s="32" t="n">
        <x:f>K30-N30</x:f>
        <x:v>5498.62999999999</x:v>
      </x:c>
      <x:c r="P30" s="31" t="n">
        <x:f>IF(N30=0,"n.a.",O30/N30)</x:f>
        <x:v>0.05721207871013915</x:v>
      </x:c>
      <x:c r="Q30" s="27" t="str">
        <x:v>No change</x:v>
      </x:c>
      <x:c r="R30" s="27" t="str">
        <x:v>Keep the current plan.</x:v>
      </x:c>
      <x:c r="S30" s="27" t="str">
        <x:v>Maintain the current plan and refresh the forecast as new booking signals arrive.</x:v>
      </x:c>
      <x:c r="T30" s="27" t="str">
        <x:f>IF(Q30="Review",COUNTIFS($Q$4:Q30,"Review"),"")</x:f>
      </x:c>
      <x:c r="U30" s="28" t="b">
        <x:v>0</x:v>
      </x:c>
      <x:c r="V30" s="28" t="b">
        <x:v>0</x:v>
      </x:c>
      <x:c r="W30" s="28" t="b">
        <x:v>0</x:v>
      </x:c>
      <x:c r="X30" s="33" t="n">
        <x:v>0.9817</x:v>
      </x:c>
      <x:c r="Y30" s="27" t="n">
        <x:v>0</x:v>
      </x:c>
      <x:c r="Z30" s="27" t="n">
        <x:v>27</x:v>
      </x:c>
      <x:c r="AA30" s="27" t="str">
        <x:v>sarimax_exogenous</x:v>
      </x:c>
      <x:c r="AB30" s="27" t="str">
        <x:v>sarimax_demand_hgb_mix_ridge_product_yield</x:v>
      </x:c>
      <x:c r="AC30" s="29" t="n">
        <x:v>46022</x:v>
      </x:c>
      <x:c r="AD30" s="34" t="n">
        <x:v>103.25</x:v>
      </x:c>
      <x:c r="AE30" s="31" t="n">
        <x:v>0.0751</x:v>
      </x:c>
      <x:c r="AF30" s="27" t="str">
        <x:v>monitor_only</x:v>
      </x:c>
      <x:c r="AG30" s="27" t="str">
        <x:v>Jan 27</x:v>
      </x:c>
    </x:row>
    <x:row r="31" ht="18" customHeight="1">
      <x:c r="A31" s="29" t="n">
        <x:v>46050</x:v>
      </x:c>
      <x:c r="B31" s="30" t="n">
        <x:v>995.97</x:v>
      </x:c>
      <x:c r="C31" s="30" t="n">
        <x:v>827.26</x:v>
      </x:c>
      <x:c r="D31" s="30" t="n">
        <x:v>1164.68</x:v>
      </x:c>
      <x:c r="E31" s="30" t="n">
        <x:v>2350</x:v>
      </x:c>
      <x:c r="F31" s="30" t="n">
        <x:v>1014</x:v>
      </x:c>
      <x:c r="G31" s="30" t="n">
        <x:f>B31-F31</x:f>
        <x:v>-18.029999999999973</x:v>
      </x:c>
      <x:c r="H31" s="31" t="n">
        <x:f>IF(F31=0,"n.a.",G31/F31)</x:f>
        <x:v>-0.017781065088757368</x:v>
      </x:c>
      <x:c r="I31" s="31" t="n">
        <x:f>IF(E31=0,"n.a.",B31/E31)</x:f>
        <x:v>0.42381702127659576</x:v>
      </x:c>
      <x:c r="J31" s="31" t="n">
        <x:f>IF(E31=0,"n.a.",D31/E31)</x:f>
        <x:v>0.4956085106382979</x:v>
      </x:c>
      <x:c r="K31" s="32" t="n">
        <x:v>104510.85</x:v>
      </x:c>
      <x:c r="L31" s="32" t="n">
        <x:v>85038.87</x:v>
      </x:c>
      <x:c r="M31" s="32" t="n">
        <x:v>123982.83</x:v>
      </x:c>
      <x:c r="N31" s="32" t="n">
        <x:v>99027.35</x:v>
      </x:c>
      <x:c r="O31" s="32" t="n">
        <x:f>K31-N31</x:f>
        <x:v>5483.5</x:v>
      </x:c>
      <x:c r="P31" s="31" t="n">
        <x:f>IF(N31=0,"n.a.",O31/N31)</x:f>
        <x:v>0.05537359123514867</x:v>
      </x:c>
      <x:c r="Q31" s="27" t="str">
        <x:v>No change</x:v>
      </x:c>
      <x:c r="R31" s="27" t="str">
        <x:v>Keep the current plan.</x:v>
      </x:c>
      <x:c r="S31" s="27" t="str">
        <x:v>Maintain the current plan and refresh the forecast as new booking signals arrive.</x:v>
      </x:c>
      <x:c r="T31" s="27" t="str">
        <x:f>IF(Q31="Review",COUNTIFS($Q$4:Q31,"Review"),"")</x:f>
      </x:c>
      <x:c r="U31" s="28" t="b">
        <x:v>0</x:v>
      </x:c>
      <x:c r="V31" s="28" t="b">
        <x:v>0</x:v>
      </x:c>
      <x:c r="W31" s="28" t="b">
        <x:v>0</x:v>
      </x:c>
      <x:c r="X31" s="33" t="n">
        <x:v>0.9317</x:v>
      </x:c>
      <x:c r="Y31" s="27" t="n">
        <x:v>0</x:v>
      </x:c>
      <x:c r="Z31" s="27" t="n">
        <x:v>28</x:v>
      </x:c>
      <x:c r="AA31" s="27" t="str">
        <x:v>sarimax_exogenous</x:v>
      </x:c>
      <x:c r="AB31" s="27" t="str">
        <x:v>sarimax_demand_hgb_mix_ridge_product_yield</x:v>
      </x:c>
      <x:c r="AC31" s="29" t="n">
        <x:v>46022</x:v>
      </x:c>
      <x:c r="AD31" s="34" t="n">
        <x:v>103.25</x:v>
      </x:c>
      <x:c r="AE31" s="31" t="n">
        <x:v>0.0751</x:v>
      </x:c>
      <x:c r="AF31" s="27" t="str">
        <x:v>monitor_only</x:v>
      </x:c>
      <x:c r="AG31" s="27" t="str">
        <x:v>Jan 28</x:v>
      </x:c>
    </x:row>
    <x:row r="32" ht="18" customHeight="1">
      <x:c r="A32" s="29" t="n">
        <x:v>46051</x:v>
      </x:c>
      <x:c r="B32" s="30" t="n">
        <x:v>1075</x:v>
      </x:c>
      <x:c r="C32" s="30" t="n">
        <x:v>906.29</x:v>
      </x:c>
      <x:c r="D32" s="30" t="n">
        <x:v>1243.71</x:v>
      </x:c>
      <x:c r="E32" s="30" t="n">
        <x:v>2350</x:v>
      </x:c>
      <x:c r="F32" s="30" t="n">
        <x:v>1081</x:v>
      </x:c>
      <x:c r="G32" s="30" t="n">
        <x:f>B32-F32</x:f>
        <x:v>-6</x:v>
      </x:c>
      <x:c r="H32" s="31" t="n">
        <x:f>IF(F32=0,"n.a.",G32/F32)</x:f>
        <x:v>-0.005550416281221091</x:v>
      </x:c>
      <x:c r="I32" s="31" t="n">
        <x:f>IF(E32=0,"n.a.",B32/E32)</x:f>
        <x:v>0.4574468085106383</x:v>
      </x:c>
      <x:c r="J32" s="31" t="n">
        <x:f>IF(E32=0,"n.a.",D32/E32)</x:f>
        <x:v>0.5292382978723404</x:v>
      </x:c>
      <x:c r="K32" s="32" t="n">
        <x:v>115998.24</x:v>
      </x:c>
      <x:c r="L32" s="32" t="n">
        <x:v>96526.27</x:v>
      </x:c>
      <x:c r="M32" s="32" t="n">
        <x:v>135470.22</x:v>
      </x:c>
      <x:c r="N32" s="32" t="n">
        <x:v>108675.26</x:v>
      </x:c>
      <x:c r="O32" s="32" t="n">
        <x:f>K32-N32</x:f>
        <x:v>7322.9800000000105</x:v>
      </x:c>
      <x:c r="P32" s="31" t="n">
        <x:f>IF(N32=0,"n.a.",O32/N32)</x:f>
        <x:v>0.06738405778831365</x:v>
      </x:c>
      <x:c r="Q32" s="27" t="str">
        <x:v>No change</x:v>
      </x:c>
      <x:c r="R32" s="27" t="str">
        <x:v>Keep the current plan.</x:v>
      </x:c>
      <x:c r="S32" s="27" t="str">
        <x:v>Maintain the current plan and refresh the forecast as new booking signals arrive.</x:v>
      </x:c>
      <x:c r="T32" s="27" t="str">
        <x:f>IF(Q32="Review",COUNTIFS($Q$4:Q32,"Review"),"")</x:f>
      </x:c>
      <x:c r="U32" s="28" t="b">
        <x:v>0</x:v>
      </x:c>
      <x:c r="V32" s="28" t="b">
        <x:v>0</x:v>
      </x:c>
      <x:c r="W32" s="28" t="b">
        <x:v>0</x:v>
      </x:c>
      <x:c r="X32" s="33" t="n">
        <x:v>0.9591</x:v>
      </x:c>
      <x:c r="Y32" s="27" t="n">
        <x:v>0</x:v>
      </x:c>
      <x:c r="Z32" s="27" t="n">
        <x:v>29</x:v>
      </x:c>
      <x:c r="AA32" s="27" t="str">
        <x:v>sarimax_exogenous</x:v>
      </x:c>
      <x:c r="AB32" s="27" t="str">
        <x:v>sarimax_demand_hgb_mix_ridge_product_yield</x:v>
      </x:c>
      <x:c r="AC32" s="29" t="n">
        <x:v>46022</x:v>
      </x:c>
      <x:c r="AD32" s="34" t="n">
        <x:v>103.25</x:v>
      </x:c>
      <x:c r="AE32" s="31" t="n">
        <x:v>0.0751</x:v>
      </x:c>
      <x:c r="AF32" s="27" t="str">
        <x:v>monitor_only</x:v>
      </x:c>
      <x:c r="AG32" s="27" t="str">
        <x:v>Jan 29</x:v>
      </x:c>
    </x:row>
    <x:row r="33" ht="18" customHeight="1">
      <x:c r="A33" s="29" t="n">
        <x:v>46052</x:v>
      </x:c>
      <x:c r="B33" s="30" t="n">
        <x:v>1305.97</x:v>
      </x:c>
      <x:c r="C33" s="30" t="n">
        <x:v>1137.26</x:v>
      </x:c>
      <x:c r="D33" s="30" t="n">
        <x:v>1474.68</x:v>
      </x:c>
      <x:c r="E33" s="30" t="n">
        <x:v>2350</x:v>
      </x:c>
      <x:c r="F33" s="30" t="n">
        <x:v>1303</x:v>
      </x:c>
      <x:c r="G33" s="30" t="n">
        <x:f>B33-F33</x:f>
        <x:v>2.9700000000000273</x:v>
      </x:c>
      <x:c r="H33" s="31" t="n">
        <x:f>IF(F33=0,"n.a.",G33/F33)</x:f>
        <x:v>0.002279355333844994</x:v>
      </x:c>
      <x:c r="I33" s="31" t="n">
        <x:f>IF(E33=0,"n.a.",B33/E33)</x:f>
        <x:v>0.5557319148936171</x:v>
      </x:c>
      <x:c r="J33" s="31" t="n">
        <x:f>IF(E33=0,"n.a.",D33/E33)</x:f>
        <x:v>0.6275234042553192</x:v>
      </x:c>
      <x:c r="K33" s="32" t="n">
        <x:v>139199.76</x:v>
      </x:c>
      <x:c r="L33" s="32" t="n">
        <x:v>119727.79</x:v>
      </x:c>
      <x:c r="M33" s="32" t="n">
        <x:v>158671.74</x:v>
      </x:c>
      <x:c r="N33" s="32" t="n">
        <x:v>129641.53</x:v>
      </x:c>
      <x:c r="O33" s="32" t="n">
        <x:f>K33-N33</x:f>
        <x:v>9558.23000000001</x:v>
      </x:c>
      <x:c r="P33" s="31" t="n">
        <x:f>IF(N33=0,"n.a.",O33/N33)</x:f>
        <x:v>0.0737281486881558</x:v>
      </x:c>
      <x:c r="Q33" s="27" t="str">
        <x:v>No change</x:v>
      </x:c>
      <x:c r="R33" s="27" t="str">
        <x:v>Keep the current plan.</x:v>
      </x:c>
      <x:c r="S33" s="27" t="str">
        <x:v>Maintain the current plan and refresh the forecast as new booking signals arrive.</x:v>
      </x:c>
      <x:c r="T33" s="27" t="str">
        <x:f>IF(Q33="Review",COUNTIFS($Q$4:Q33,"Review"),"")</x:f>
      </x:c>
      <x:c r="U33" s="28" t="b">
        <x:v>0</x:v>
      </x:c>
      <x:c r="V33" s="28" t="b">
        <x:v>0</x:v>
      </x:c>
      <x:c r="W33" s="28" t="b">
        <x:v>0</x:v>
      </x:c>
      <x:c r="X33" s="33" t="n">
        <x:v>0.9418</x:v>
      </x:c>
      <x:c r="Y33" s="27" t="n">
        <x:v>0</x:v>
      </x:c>
      <x:c r="Z33" s="27" t="n">
        <x:v>30</x:v>
      </x:c>
      <x:c r="AA33" s="27" t="str">
        <x:v>sarimax_exogenous</x:v>
      </x:c>
      <x:c r="AB33" s="27" t="str">
        <x:v>sarimax_demand_hgb_mix_ridge_product_yield</x:v>
      </x:c>
      <x:c r="AC33" s="29" t="n">
        <x:v>46022</x:v>
      </x:c>
      <x:c r="AD33" s="34" t="n">
        <x:v>103.25</x:v>
      </x:c>
      <x:c r="AE33" s="31" t="n">
        <x:v>0.0751</x:v>
      </x:c>
      <x:c r="AF33" s="27" t="str">
        <x:v>monitor_only</x:v>
      </x:c>
      <x:c r="AG33" s="27" t="str">
        <x:v>Jan 30</x:v>
      </x:c>
    </x:row>
  </x:sheetData>
  <x:pageMargins left="0.7" right="0.7" top="0.75" bottom="0.75" header="0.3" footer="0.3"/>
  <x:tableParts count="1">
    <x:tablePart xmlns:r="http://schemas.openxmlformats.org/officeDocument/2006/relationships" r:id="Rca2811641ba244b7"/>
  </x:tableParts>
</x:worksheet>
</file>